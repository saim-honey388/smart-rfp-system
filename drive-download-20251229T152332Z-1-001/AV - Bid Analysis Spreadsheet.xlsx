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randall.arthurs\Dropbox\Forensics\BU 124\01 EO - Active Projects\A\EO - Audubon Villas\Restoration\Bid Package\"/>
    </mc:Choice>
  </mc:AlternateContent>
  <xr:revisionPtr revIDLastSave="0" documentId="13_ncr:1_{71F53BEE-CA2D-4D9C-8A30-FDFB84E2D426}" xr6:coauthVersionLast="47" xr6:coauthVersionMax="47" xr10:uidLastSave="{00000000-0000-0000-0000-000000000000}"/>
  <bookViews>
    <workbookView xWindow="-120" yWindow="-120" windowWidth="29040" windowHeight="15720" xr2:uid="{C1CD6E2E-E9B8-46DD-993C-719E3A7B570E}"/>
  </bookViews>
  <sheets>
    <sheet name="Bid Form Final - Bldg 10" sheetId="5" r:id="rId1"/>
    <sheet name="Bid Form Final - Bldgs 12-16" sheetId="7" r:id="rId2"/>
  </sheets>
  <definedNames>
    <definedName name="_xlnm.Print_Area" localSheetId="0">'Bid Form Final - Bldg 10'!$B$2:$O$59</definedName>
    <definedName name="_xlnm.Print_Area" localSheetId="1">'Bid Form Final - Bldgs 12-16'!$B$2:$O$64</definedName>
    <definedName name="_xlnm.Print_Titles" localSheetId="0">'Bid Form Final - Bldg 10'!$2:$13</definedName>
    <definedName name="_xlnm.Print_Titles" localSheetId="1">'Bid Form Final - Bldgs 12-16'!$2:$13</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7" i="7" l="1"/>
  <c r="K56" i="7"/>
  <c r="K55" i="7"/>
  <c r="K54" i="7"/>
  <c r="G53" i="7"/>
  <c r="G52" i="7"/>
  <c r="G51" i="7"/>
  <c r="G50" i="7"/>
  <c r="G52" i="5"/>
  <c r="G51" i="5"/>
  <c r="G50" i="5"/>
  <c r="G49" i="5"/>
  <c r="G42" i="7" l="1"/>
  <c r="G41" i="5" l="1"/>
  <c r="S42" i="7"/>
  <c r="K42" i="7"/>
  <c r="O42" i="7" l="1"/>
  <c r="K41" i="5" l="1"/>
  <c r="O41" i="5" l="1"/>
</calcChain>
</file>

<file path=xl/sharedStrings.xml><?xml version="1.0" encoding="utf-8"?>
<sst xmlns="http://schemas.openxmlformats.org/spreadsheetml/2006/main" count="494" uniqueCount="108">
  <si>
    <t xml:space="preserve"> Item</t>
  </si>
  <si>
    <t>Unit</t>
  </si>
  <si>
    <t>General Conditions</t>
  </si>
  <si>
    <t>LS</t>
  </si>
  <si>
    <t>Permit</t>
  </si>
  <si>
    <t>Performance and Payment Bonds</t>
  </si>
  <si>
    <t>Estimated Quantity</t>
  </si>
  <si>
    <t>SF</t>
  </si>
  <si>
    <t>LF</t>
  </si>
  <si>
    <t>Unit Price</t>
  </si>
  <si>
    <t>Cost</t>
  </si>
  <si>
    <t>Description of Work</t>
  </si>
  <si>
    <t>WORK EXCLUSIONS</t>
  </si>
  <si>
    <t>ADDITIONAL ITEMS</t>
  </si>
  <si>
    <t>Excl.</t>
  </si>
  <si>
    <t>Addl.</t>
  </si>
  <si>
    <t>TBD</t>
  </si>
  <si>
    <t xml:space="preserve"> SF </t>
  </si>
  <si>
    <t>T&amp;M</t>
  </si>
  <si>
    <t>Shoring</t>
  </si>
  <si>
    <t>Total</t>
  </si>
  <si>
    <t>Excluding TBD Items</t>
  </si>
  <si>
    <t>Item</t>
  </si>
  <si>
    <t>N/A</t>
  </si>
  <si>
    <t>Wall framing members repairs and replacement as needed.</t>
  </si>
  <si>
    <t>I</t>
  </si>
  <si>
    <t>II</t>
  </si>
  <si>
    <t>Structural</t>
  </si>
  <si>
    <t>III</t>
  </si>
  <si>
    <t>Painting of Repair Areas</t>
  </si>
  <si>
    <t>Exterior Façade (Stucco) Repairs</t>
  </si>
  <si>
    <t>Exterior stucco cracks (rout and seal). Remove paint within 2" of crack (each side) and blend repair mortar to match texture as much as reasonably possible.</t>
  </si>
  <si>
    <t>Balcony deck sheathing repairs and replacement as needed.</t>
  </si>
  <si>
    <t>Joists and beams removal and replacement as needed.</t>
  </si>
  <si>
    <t>Install new concrete topping slab with two coats of concrete sealer at all unit balconies, catwalks, and landings.</t>
  </si>
  <si>
    <t xml:space="preserve">LF </t>
  </si>
  <si>
    <t xml:space="preserve">SF </t>
  </si>
  <si>
    <t>Wall sheathing repairs and replacement as needed.</t>
  </si>
  <si>
    <t>Mobilization and Demobilization</t>
  </si>
  <si>
    <t>Column/Posts Chase (Stucco) Repairs</t>
  </si>
  <si>
    <t xml:space="preserve">Exterior stucco standard installation, 3-coat process per ASTM C926, nominal 7/8” thickness. </t>
  </si>
  <si>
    <t>IV</t>
  </si>
  <si>
    <t>Exterior stucco removal at the column/posts chase along catwalks, balconies and landings.</t>
  </si>
  <si>
    <t>Remove and replace sealant around fenestrations (windows, door, etc.) prior to painting. Includes cutting a ¼” rake joint between fenestration frames and stucco.</t>
  </si>
  <si>
    <t>Replace deteriorated sealants at Control Joints and Expansion Joints with approved material.</t>
  </si>
  <si>
    <t>Balcony, Catwalk, and Landing Restoration</t>
  </si>
  <si>
    <t xml:space="preserve">TOTAL COST </t>
  </si>
  <si>
    <t>At all unit balconies, catwalks, and landings, remove and replace all existing ceiling finishes.
Replacement of ceiling finishes to occur after completion of Balcony and Catwalk Restoration.</t>
  </si>
  <si>
    <t>At all unit unit balconies, catwalks, and landings, remove concrete topping.
Does not include ground level.</t>
  </si>
  <si>
    <t xml:space="preserve">At all unit balconies, catwalks, and landings install waterproofing system, turn up the waterproofing 4 inches at the walls.
Include removal and replacement of the 6" stucco at wall/deck connection, modification of slope to ensure positive drainage, and water test to evaluate integrity of waterproofing installation in this line item.  </t>
  </si>
  <si>
    <t>Exterior stucco removal &amp; replacement at the exterior façade (standard installation, 3-coat process per ASTM C926, nominal 7/8” thickness). 
For reference each building has approximately 13,500 SF of stucco painted surfaces.</t>
  </si>
  <si>
    <t>Painting of all repaired exterior façade walls and ceilings. 
Includes surface preparation. 
Includes all stucco finishes affected by the repairs. Interior areas not included.</t>
  </si>
  <si>
    <t>Painting of all railings, vents, scuppers, louvers, unit front doors, balcony storage room doors, mechanical room doors, and all other service doors and frames affected by the repairs. 
Includes surface preparation. Interior areas not included.</t>
  </si>
  <si>
    <t>V</t>
  </si>
  <si>
    <t>VI</t>
  </si>
  <si>
    <t>General Conditions 
Include overhead protection, additional lighting, and portable restroom facilities, as needed.</t>
  </si>
  <si>
    <t>Included in VI.1</t>
  </si>
  <si>
    <t>92 Days</t>
  </si>
  <si>
    <t>60 Days</t>
  </si>
  <si>
    <t>93 Days</t>
  </si>
  <si>
    <t>11849 US HWY 41 S, Gibsonton, FL 33534</t>
  </si>
  <si>
    <t>License # CGC1522473</t>
  </si>
  <si>
    <t>Phone (407) 737 - 8808</t>
  </si>
  <si>
    <t>VasilyS@iecon.us</t>
  </si>
  <si>
    <t>14111 Fairways Island Drive, Orlando, Florida 32837</t>
  </si>
  <si>
    <t>4700 Millenia Blvd, Suite #500, Orlando, FL 32839</t>
  </si>
  <si>
    <t>mwitter@empireworks.com</t>
  </si>
  <si>
    <t>Phone (689) 310 - 1591</t>
  </si>
  <si>
    <t>License # CGC1532020</t>
  </si>
  <si>
    <t>License # CGC057803</t>
  </si>
  <si>
    <t>devin@dueall.com</t>
  </si>
  <si>
    <t>Phone (914) 564 - 6816</t>
  </si>
  <si>
    <t>Balcony handrail removal and reinstillation</t>
  </si>
  <si>
    <t>Confirm inclusion in Item II.2.</t>
  </si>
  <si>
    <t>Joist removal and replacement as needed</t>
  </si>
  <si>
    <t>Beam removal and replacement as needed</t>
  </si>
  <si>
    <t>Confirm if LF</t>
  </si>
  <si>
    <t>Scaffolding for 1/2 the building</t>
  </si>
  <si>
    <t>Included in Item I.4.</t>
  </si>
  <si>
    <t>Balcony wood column removal and replacement as needed</t>
  </si>
  <si>
    <t>186 Days</t>
  </si>
  <si>
    <t>Bdlg</t>
  </si>
  <si>
    <t>365 Days</t>
  </si>
  <si>
    <t>Scaffolding for 1/2 the building surface</t>
  </si>
  <si>
    <t>Engineering Drawings - Walkway</t>
  </si>
  <si>
    <t>Engineering Drawings - Landings/Balconies</t>
  </si>
  <si>
    <t>Shoring whole walkway</t>
  </si>
  <si>
    <t>Shoring Landings, Balcony areas</t>
  </si>
  <si>
    <t>Not Provided</t>
  </si>
  <si>
    <t>Scaffolding Note:  Scaffolding is included for access to decks and for column repairs only. All other scaffolding to be charged at $3.26 per sqft.</t>
  </si>
  <si>
    <r>
      <t>Painting:  EmpireWorks quote for painting includes 2 full coats at 85 sqft per gallon per coat for a 10-year manufacturer's "</t>
    </r>
    <r>
      <rPr>
        <b/>
        <u/>
        <sz val="10"/>
        <color rgb="FF000000"/>
        <rFont val="Times New Roman"/>
        <family val="1"/>
      </rPr>
      <t>waterproof</t>
    </r>
    <r>
      <rPr>
        <sz val="10"/>
        <color rgb="FF000000"/>
        <rFont val="Times New Roman"/>
        <family val="1"/>
      </rPr>
      <t>"warranty.</t>
    </r>
  </si>
  <si>
    <t>Shoring: Add for walkway or balcony shoring per location: (Set-up. Takedown, 1 month Rental)</t>
  </si>
  <si>
    <t>Included in Item V.1.</t>
  </si>
  <si>
    <t>License # CGC1530848</t>
  </si>
  <si>
    <t>Phone (971) 313 - 4131</t>
  </si>
  <si>
    <t>chrisb@eastbrookconstruction.com</t>
  </si>
  <si>
    <t>7528 Dockside St., Winter Park, FL 32792</t>
  </si>
  <si>
    <t>Legend</t>
  </si>
  <si>
    <t>###</t>
  </si>
  <si>
    <t>Value not explicitly provided and had to be interpreted</t>
  </si>
  <si>
    <r>
      <t>Painting:  EmpireWorks quote for painting includes 2 full coats at 85 sqft per gallon per coat for a 10-year manufacturer's "</t>
    </r>
    <r>
      <rPr>
        <b/>
        <u/>
        <sz val="10"/>
        <color rgb="FF000000"/>
        <rFont val="Franklin Gothic Book"/>
        <family val="2"/>
      </rPr>
      <t>waterproof</t>
    </r>
    <r>
      <rPr>
        <sz val="10"/>
        <color rgb="FF000000"/>
        <rFont val="Franklin Gothic Book"/>
        <family val="2"/>
      </rPr>
      <t>"warranty.</t>
    </r>
  </si>
  <si>
    <t>Gereral Conditions</t>
  </si>
  <si>
    <t>Project Timeline (Calendar Days) - from contract signing to project completion</t>
  </si>
  <si>
    <t>Hourly rate and markup percentage: labor and material rate for paint - quantity 1 - unit HR $65 + 20% markup on Materials</t>
  </si>
  <si>
    <t>To be used with Item V.2.</t>
  </si>
  <si>
    <t>Unverified quantities for reference purposes only</t>
  </si>
  <si>
    <t>Audubon Villas at Hunter's Creek Condominium - Bulding 10 Restoration Bid Analysis</t>
  </si>
  <si>
    <t>Audubon Villas at Hunter's Creek Condominium - Buldings 12 - 16 Restoration Bid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</si>
</sst>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44" formatCode="_(&quot;$&quot;* #,##0.00_);_(&quot;$&quot;* \(#,##0.00\);_(&quot;$&quot;* &quot;-&quot;??_);_(@_)"/>
    <numFmt numFmtId="43" formatCode="_(* #,##0.00_);_(* \(#,##0.00\);_(* &quot;-&quot;??_);_(@_)"/>
    <numFmt numFmtId="164" formatCode="_(* #,##0_);_(* \(#,##0\);_(* &quot;-&quot;??_);_(@_)"/>
    <numFmt numFmtId="165" formatCode="&quot;$&quot;#,##0.00"/>
  </numFmts>
  <fonts count="40" x14ac:knownFonts="1">
    <font>
      <sz val="11"/>
      <color theme="1"/>
      <name val="Calibri"/>
      <family val="2"/>
      <scheme val="minor"/>
    </font>
    <font>
      <sz val="11"/>
      <color theme="1"/>
      <name val="Calibri"/>
      <family val="2"/>
      <scheme val="minor"/>
    </font>
    <font>
      <sz val="10"/>
      <color theme="1"/>
      <name val="Times New Roman"/>
      <family val="1"/>
    </font>
    <font>
      <b/>
      <sz val="10"/>
      <color theme="0"/>
      <name val="Times New Roman"/>
      <family val="1"/>
    </font>
    <font>
      <b/>
      <sz val="10"/>
      <name val="Times New Roman"/>
      <family val="1"/>
    </font>
    <font>
      <sz val="10"/>
      <name val="Times New Roman"/>
      <family val="1"/>
    </font>
    <font>
      <sz val="10"/>
      <color rgb="FF000000"/>
      <name val="Times New Roman"/>
      <family val="1"/>
    </font>
    <font>
      <b/>
      <sz val="10"/>
      <color rgb="FF000000"/>
      <name val="Times New Roman"/>
      <family val="1"/>
    </font>
    <font>
      <b/>
      <sz val="11"/>
      <color theme="1"/>
      <name val="Calibri"/>
      <family val="2"/>
      <scheme val="minor"/>
    </font>
    <font>
      <u/>
      <sz val="11"/>
      <color theme="10"/>
      <name val="Calibri"/>
      <family val="2"/>
      <scheme val="minor"/>
    </font>
    <font>
      <b/>
      <sz val="18"/>
      <color theme="1"/>
      <name val="Calibri"/>
      <family val="2"/>
      <scheme val="minor"/>
    </font>
    <font>
      <sz val="12"/>
      <color theme="1"/>
      <name val="Times New Roman"/>
      <family val="1"/>
    </font>
    <font>
      <b/>
      <sz val="12"/>
      <color theme="1"/>
      <name val="Times New Roman"/>
      <family val="1"/>
    </font>
    <font>
      <b/>
      <i/>
      <u/>
      <sz val="12"/>
      <color theme="1"/>
      <name val="Calibri"/>
      <family val="2"/>
      <scheme val="minor"/>
    </font>
    <font>
      <b/>
      <sz val="11"/>
      <color theme="1"/>
      <name val="Times New Roman"/>
      <family val="1"/>
    </font>
    <font>
      <u/>
      <sz val="11"/>
      <color theme="10"/>
      <name val="Times New Roman"/>
      <family val="1"/>
    </font>
    <font>
      <sz val="11"/>
      <color theme="1"/>
      <name val="Franklin Gothic Book"/>
      <family val="2"/>
    </font>
    <font>
      <b/>
      <sz val="10"/>
      <name val="Franklin Gothic Book"/>
      <family val="2"/>
    </font>
    <font>
      <b/>
      <sz val="10"/>
      <color theme="0"/>
      <name val="Franklin Gothic Book"/>
      <family val="2"/>
    </font>
    <font>
      <sz val="10"/>
      <color theme="1"/>
      <name val="Franklin Gothic Book"/>
      <family val="2"/>
    </font>
    <font>
      <sz val="10"/>
      <color rgb="FF000000"/>
      <name val="Franklin Gothic Book"/>
      <family val="2"/>
    </font>
    <font>
      <b/>
      <i/>
      <u/>
      <sz val="12"/>
      <color theme="1"/>
      <name val="Franklin Gothic Book"/>
      <family val="2"/>
    </font>
    <font>
      <sz val="10"/>
      <name val="Franklin Gothic Book"/>
      <family val="2"/>
    </font>
    <font>
      <b/>
      <sz val="14"/>
      <color theme="0"/>
      <name val="Times New Roman"/>
      <family val="1"/>
    </font>
    <font>
      <b/>
      <u/>
      <sz val="10"/>
      <color rgb="FF000000"/>
      <name val="Times New Roman"/>
      <family val="1"/>
    </font>
    <font>
      <b/>
      <sz val="10"/>
      <color rgb="FF0070C0"/>
      <name val="Times New Roman"/>
      <family val="1"/>
    </font>
    <font>
      <b/>
      <u/>
      <sz val="14"/>
      <color theme="1"/>
      <name val="Franklin Gothic Book"/>
      <family val="2"/>
    </font>
    <font>
      <b/>
      <sz val="11"/>
      <color rgb="FF0070C0"/>
      <name val="Franklin Gothic Book"/>
      <family val="2"/>
    </font>
    <font>
      <b/>
      <sz val="14"/>
      <color theme="1"/>
      <name val="Franklin Gothic Book"/>
      <family val="2"/>
    </font>
    <font>
      <b/>
      <sz val="11"/>
      <color theme="1"/>
      <name val="Franklin Gothic Book"/>
      <family val="2"/>
    </font>
    <font>
      <u/>
      <sz val="11"/>
      <color theme="10"/>
      <name val="Franklin Gothic Book"/>
      <family val="2"/>
    </font>
    <font>
      <b/>
      <sz val="12"/>
      <color theme="1"/>
      <name val="Franklin Gothic Book"/>
      <family val="2"/>
    </font>
    <font>
      <b/>
      <sz val="10"/>
      <color rgb="FF0070C0"/>
      <name val="Franklin Gothic Book"/>
      <family val="2"/>
    </font>
    <font>
      <sz val="12"/>
      <color theme="1"/>
      <name val="Franklin Gothic Book"/>
      <family val="2"/>
    </font>
    <font>
      <b/>
      <sz val="14"/>
      <color theme="0"/>
      <name val="Franklin Gothic Book"/>
      <family val="2"/>
    </font>
    <font>
      <b/>
      <sz val="10"/>
      <color rgb="FF000000"/>
      <name val="Franklin Gothic Book"/>
      <family val="2"/>
    </font>
    <font>
      <b/>
      <u/>
      <sz val="10"/>
      <color rgb="FF000000"/>
      <name val="Franklin Gothic Book"/>
      <family val="2"/>
    </font>
    <font>
      <b/>
      <sz val="10"/>
      <color rgb="FFFF0000"/>
      <name val="Franklin Gothic Book"/>
      <family val="2"/>
    </font>
    <font>
      <b/>
      <sz val="10"/>
      <color rgb="FFFF0000"/>
      <name val="Times New Roman"/>
      <family val="1"/>
    </font>
    <font>
      <b/>
      <sz val="11"/>
      <color rgb="FFFF0000"/>
      <name val="Franklin Gothic Book"/>
      <family val="2"/>
    </font>
  </fonts>
  <fills count="7">
    <fill>
      <patternFill patternType="none"/>
    </fill>
    <fill>
      <patternFill patternType="gray125"/>
    </fill>
    <fill>
      <patternFill patternType="solid">
        <fgColor theme="2" tint="-9.9978637043366805E-2"/>
        <bgColor indexed="64"/>
      </patternFill>
    </fill>
    <fill>
      <patternFill patternType="solid">
        <fgColor rgb="FFD0CECE"/>
        <bgColor indexed="64"/>
      </patternFill>
    </fill>
    <fill>
      <patternFill patternType="solid">
        <fgColor rgb="FFD9D9D9"/>
        <bgColor indexed="64"/>
      </patternFill>
    </fill>
    <fill>
      <patternFill patternType="solid">
        <fgColor theme="0" tint="-0.14999847407452621"/>
        <bgColor indexed="64"/>
      </patternFill>
    </fill>
    <fill>
      <patternFill patternType="solid">
        <fgColor rgb="FF156082"/>
        <bgColor indexed="64"/>
      </patternFill>
    </fill>
  </fills>
  <borders count="4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medium">
        <color indexed="64"/>
      </right>
      <top/>
      <bottom/>
      <diagonal/>
    </border>
    <border>
      <left/>
      <right style="medium">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medium">
        <color indexed="64"/>
      </left>
      <right style="hair">
        <color theme="0" tint="-0.499984740745262"/>
      </right>
      <top style="medium">
        <color indexed="64"/>
      </top>
      <bottom style="hair">
        <color theme="0" tint="-0.499984740745262"/>
      </bottom>
      <diagonal/>
    </border>
    <border>
      <left style="hair">
        <color theme="0" tint="-0.499984740745262"/>
      </left>
      <right style="hair">
        <color theme="0" tint="-0.499984740745262"/>
      </right>
      <top style="medium">
        <color indexed="64"/>
      </top>
      <bottom style="hair">
        <color theme="0" tint="-0.499984740745262"/>
      </bottom>
      <diagonal/>
    </border>
    <border>
      <left style="hair">
        <color theme="0" tint="-0.499984740745262"/>
      </left>
      <right style="medium">
        <color indexed="64"/>
      </right>
      <top style="medium">
        <color indexed="64"/>
      </top>
      <bottom style="hair">
        <color theme="0" tint="-0.499984740745262"/>
      </bottom>
      <diagonal/>
    </border>
    <border>
      <left style="hair">
        <color theme="0" tint="-0.499984740745262"/>
      </left>
      <right style="hair">
        <color theme="0" tint="-0.499984740745262"/>
      </right>
      <top/>
      <bottom style="hair">
        <color theme="0" tint="-0.499984740745262"/>
      </bottom>
      <diagonal/>
    </border>
    <border>
      <left style="hair">
        <color theme="0" tint="-0.499984740745262"/>
      </left>
      <right style="medium">
        <color indexed="64"/>
      </right>
      <top/>
      <bottom style="hair">
        <color theme="0" tint="-0.499984740745262"/>
      </bottom>
      <diagonal/>
    </border>
    <border>
      <left style="medium">
        <color indexed="64"/>
      </left>
      <right style="hair">
        <color theme="0" tint="-0.499984740745262"/>
      </right>
      <top/>
      <bottom style="hair">
        <color theme="0" tint="-0.499984740745262"/>
      </bottom>
      <diagonal/>
    </border>
  </borders>
  <cellStyleXfs count="3">
    <xf numFmtId="0" fontId="0" fillId="0" borderId="0"/>
    <xf numFmtId="43" fontId="1" fillId="0" borderId="0" applyFont="0" applyFill="0" applyBorder="0" applyAlignment="0" applyProtection="0"/>
    <xf numFmtId="0" fontId="9" fillId="0" borderId="0" applyNumberFormat="0" applyFill="0" applyBorder="0" applyAlignment="0" applyProtection="0"/>
  </cellStyleXfs>
  <cellXfs count="255">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2" fillId="0" borderId="16" xfId="0" applyFont="1" applyBorder="1" applyAlignment="1">
      <alignment horizontal="center" vertical="center" wrapText="1"/>
    </xf>
    <xf numFmtId="3" fontId="5" fillId="0" borderId="17" xfId="0" applyNumberFormat="1" applyFont="1" applyBorder="1" applyAlignment="1">
      <alignment horizontal="center" vertical="center" wrapText="1"/>
    </xf>
    <xf numFmtId="8" fontId="5" fillId="0" borderId="17" xfId="0" applyNumberFormat="1" applyFont="1" applyBorder="1" applyAlignment="1">
      <alignment horizontal="center" vertical="center" wrapText="1"/>
    </xf>
    <xf numFmtId="8" fontId="5" fillId="0" borderId="18" xfId="0" applyNumberFormat="1" applyFont="1" applyBorder="1" applyAlignment="1">
      <alignment horizontal="center" vertical="center" wrapText="1"/>
    </xf>
    <xf numFmtId="0" fontId="2" fillId="0" borderId="12" xfId="0" applyFont="1" applyBorder="1" applyAlignment="1">
      <alignment horizontal="center" vertical="center" wrapText="1"/>
    </xf>
    <xf numFmtId="3" fontId="5" fillId="0" borderId="14" xfId="0" applyNumberFormat="1" applyFont="1" applyBorder="1" applyAlignment="1">
      <alignment horizontal="center" vertical="center" wrapText="1"/>
    </xf>
    <xf numFmtId="8" fontId="5" fillId="0" borderId="14" xfId="0" applyNumberFormat="1" applyFont="1" applyBorder="1" applyAlignment="1">
      <alignment horizontal="center" vertical="center" wrapText="1"/>
    </xf>
    <xf numFmtId="44" fontId="5" fillId="0" borderId="18" xfId="0" applyNumberFormat="1" applyFont="1" applyBorder="1" applyAlignment="1">
      <alignment horizontal="center" vertical="center" wrapText="1"/>
    </xf>
    <xf numFmtId="3" fontId="5" fillId="0" borderId="20" xfId="0" applyNumberFormat="1" applyFont="1" applyBorder="1" applyAlignment="1">
      <alignment horizontal="center" vertical="center" wrapText="1"/>
    </xf>
    <xf numFmtId="3" fontId="2" fillId="0" borderId="17" xfId="0" applyNumberFormat="1" applyFont="1" applyBorder="1" applyAlignment="1">
      <alignment horizontal="center" vertical="center" wrapText="1"/>
    </xf>
    <xf numFmtId="8" fontId="2" fillId="0" borderId="18" xfId="0" applyNumberFormat="1" applyFont="1" applyBorder="1" applyAlignment="1">
      <alignment horizontal="center" vertical="center" wrapText="1"/>
    </xf>
    <xf numFmtId="0" fontId="2" fillId="0" borderId="19" xfId="0" applyFont="1" applyBorder="1" applyAlignment="1">
      <alignment horizontal="center" vertical="center" wrapText="1"/>
    </xf>
    <xf numFmtId="3" fontId="2" fillId="0" borderId="20" xfId="0" applyNumberFormat="1" applyFont="1" applyBorder="1" applyAlignment="1">
      <alignment horizontal="center" vertical="center" wrapText="1"/>
    </xf>
    <xf numFmtId="8" fontId="2" fillId="0" borderId="20" xfId="0" applyNumberFormat="1" applyFont="1" applyBorder="1" applyAlignment="1">
      <alignment horizontal="center" vertical="center" wrapText="1"/>
    </xf>
    <xf numFmtId="0" fontId="2" fillId="0" borderId="26" xfId="0" applyFont="1" applyBorder="1" applyAlignment="1">
      <alignment horizontal="left" vertical="center" wrapText="1"/>
    </xf>
    <xf numFmtId="0" fontId="2" fillId="0" borderId="28" xfId="0" applyFont="1" applyBorder="1" applyAlignment="1">
      <alignment horizontal="center" vertical="center" wrapText="1"/>
    </xf>
    <xf numFmtId="164" fontId="2" fillId="0" borderId="14" xfId="1" applyNumberFormat="1" applyFont="1" applyBorder="1" applyAlignment="1">
      <alignment horizontal="left" vertical="center" wrapText="1"/>
    </xf>
    <xf numFmtId="0" fontId="2" fillId="0" borderId="15" xfId="0" applyFont="1" applyBorder="1" applyAlignment="1">
      <alignment horizontal="left" vertical="center" wrapText="1"/>
    </xf>
    <xf numFmtId="0" fontId="7" fillId="3" borderId="15" xfId="0" applyFont="1" applyFill="1" applyBorder="1" applyAlignment="1">
      <alignment vertical="center" wrapText="1"/>
    </xf>
    <xf numFmtId="0" fontId="7" fillId="3" borderId="14" xfId="0" applyFont="1" applyFill="1" applyBorder="1" applyAlignment="1">
      <alignment vertical="center" wrapText="1"/>
    </xf>
    <xf numFmtId="0" fontId="7" fillId="3" borderId="22" xfId="0" applyFont="1" applyFill="1" applyBorder="1" applyAlignment="1">
      <alignment vertical="center" wrapText="1"/>
    </xf>
    <xf numFmtId="0" fontId="4" fillId="2" borderId="12" xfId="0" applyFont="1" applyFill="1" applyBorder="1" applyAlignment="1">
      <alignment horizontal="center" vertical="center" wrapText="1"/>
    </xf>
    <xf numFmtId="164" fontId="2" fillId="0" borderId="12" xfId="1" applyNumberFormat="1" applyFont="1" applyBorder="1" applyAlignment="1">
      <alignment horizontal="center" vertical="center" wrapText="1"/>
    </xf>
    <xf numFmtId="0" fontId="7" fillId="3" borderId="12" xfId="0" applyFont="1" applyFill="1" applyBorder="1" applyAlignment="1">
      <alignment vertical="center" wrapText="1"/>
    </xf>
    <xf numFmtId="0" fontId="7" fillId="3" borderId="13" xfId="0" applyFont="1" applyFill="1" applyBorder="1" applyAlignment="1">
      <alignment vertical="center" wrapText="1"/>
    </xf>
    <xf numFmtId="0" fontId="2" fillId="0" borderId="15" xfId="0" applyFont="1" applyBorder="1" applyAlignment="1">
      <alignment vertical="center" wrapText="1"/>
    </xf>
    <xf numFmtId="0" fontId="13" fillId="0" borderId="2" xfId="0" applyFont="1" applyBorder="1" applyAlignment="1">
      <alignment vertical="center" wrapText="1"/>
    </xf>
    <xf numFmtId="3" fontId="2" fillId="0" borderId="33" xfId="0" applyNumberFormat="1" applyFont="1" applyBorder="1" applyAlignment="1">
      <alignment horizontal="center" vertical="center" wrapText="1"/>
    </xf>
    <xf numFmtId="0" fontId="12" fillId="4" borderId="15" xfId="0" applyFont="1" applyFill="1" applyBorder="1" applyAlignment="1">
      <alignment horizontal="center" vertical="center" wrapText="1"/>
    </xf>
    <xf numFmtId="0" fontId="12" fillId="4" borderId="14" xfId="0" applyFont="1" applyFill="1" applyBorder="1" applyAlignment="1">
      <alignment horizontal="center" vertical="center" wrapText="1"/>
    </xf>
    <xf numFmtId="0" fontId="12" fillId="4" borderId="12" xfId="0" applyFont="1" applyFill="1" applyBorder="1" applyAlignment="1">
      <alignment horizontal="center" vertical="center" wrapText="1"/>
    </xf>
    <xf numFmtId="0" fontId="12" fillId="4" borderId="22" xfId="0" applyFont="1" applyFill="1" applyBorder="1" applyAlignment="1">
      <alignment horizontal="center" vertical="center" wrapText="1"/>
    </xf>
    <xf numFmtId="3" fontId="5" fillId="0" borderId="33" xfId="0" applyNumberFormat="1" applyFont="1" applyBorder="1" applyAlignment="1">
      <alignment horizontal="center" vertical="center" wrapText="1"/>
    </xf>
    <xf numFmtId="3" fontId="5" fillId="0" borderId="22" xfId="0" applyNumberFormat="1" applyFont="1" applyBorder="1" applyAlignment="1">
      <alignment horizontal="center" vertical="center" wrapText="1"/>
    </xf>
    <xf numFmtId="0" fontId="12" fillId="4" borderId="15" xfId="0" applyFont="1" applyFill="1" applyBorder="1" applyAlignment="1">
      <alignment horizontal="left" vertical="center" wrapText="1"/>
    </xf>
    <xf numFmtId="0" fontId="5" fillId="0" borderId="18" xfId="0" applyFont="1" applyBorder="1" applyAlignment="1">
      <alignment horizontal="justify" vertical="center" wrapText="1"/>
    </xf>
    <xf numFmtId="0" fontId="5" fillId="0" borderId="15" xfId="0" applyFont="1" applyBorder="1" applyAlignment="1">
      <alignment horizontal="justify" vertical="center" wrapText="1"/>
    </xf>
    <xf numFmtId="0" fontId="2" fillId="0" borderId="18" xfId="0" applyFont="1" applyBorder="1" applyAlignment="1">
      <alignment vertical="center" wrapText="1"/>
    </xf>
    <xf numFmtId="0" fontId="2" fillId="0" borderId="21" xfId="0" applyFont="1" applyBorder="1" applyAlignment="1">
      <alignment vertical="center" wrapText="1"/>
    </xf>
    <xf numFmtId="165" fontId="5" fillId="0" borderId="18" xfId="0" applyNumberFormat="1" applyFont="1" applyBorder="1" applyAlignment="1">
      <alignment horizontal="center" vertical="center" wrapText="1"/>
    </xf>
    <xf numFmtId="44" fontId="5" fillId="0" borderId="14" xfId="0" applyNumberFormat="1" applyFont="1" applyBorder="1" applyAlignment="1">
      <alignment horizontal="center" vertical="center" wrapText="1"/>
    </xf>
    <xf numFmtId="0" fontId="2" fillId="0" borderId="27" xfId="0" applyFont="1" applyBorder="1" applyAlignment="1">
      <alignment horizontal="center"/>
    </xf>
    <xf numFmtId="0" fontId="2" fillId="0" borderId="25" xfId="0" applyFont="1" applyBorder="1" applyAlignment="1">
      <alignment horizontal="center"/>
    </xf>
    <xf numFmtId="165" fontId="2" fillId="0" borderId="25" xfId="0" applyNumberFormat="1" applyFont="1" applyBorder="1" applyAlignment="1">
      <alignment horizontal="center"/>
    </xf>
    <xf numFmtId="165" fontId="2" fillId="0" borderId="26" xfId="0" applyNumberFormat="1" applyFont="1" applyBorder="1" applyAlignment="1">
      <alignment horizontal="center"/>
    </xf>
    <xf numFmtId="0" fontId="2" fillId="0" borderId="22" xfId="0" applyFont="1" applyBorder="1" applyAlignment="1">
      <alignment horizontal="center" vertical="top" wrapText="1"/>
    </xf>
    <xf numFmtId="0" fontId="2" fillId="0" borderId="14" xfId="0" applyFont="1" applyBorder="1" applyAlignment="1">
      <alignment horizontal="center" vertical="top" wrapText="1"/>
    </xf>
    <xf numFmtId="165" fontId="2" fillId="0" borderId="14" xfId="0" applyNumberFormat="1" applyFont="1" applyBorder="1" applyAlignment="1">
      <alignment horizontal="center" vertical="top" wrapText="1"/>
    </xf>
    <xf numFmtId="44" fontId="5" fillId="0" borderId="35" xfId="0" applyNumberFormat="1" applyFont="1" applyBorder="1" applyAlignment="1">
      <alignment horizontal="center" vertical="center" wrapText="1"/>
    </xf>
    <xf numFmtId="165" fontId="2" fillId="0" borderId="15" xfId="0" applyNumberFormat="1" applyFont="1" applyBorder="1" applyAlignment="1">
      <alignment horizontal="center" vertical="top" wrapText="1"/>
    </xf>
    <xf numFmtId="0" fontId="12" fillId="5" borderId="22" xfId="0" applyFont="1" applyFill="1" applyBorder="1" applyAlignment="1">
      <alignment horizontal="center" vertical="center" wrapText="1"/>
    </xf>
    <xf numFmtId="0" fontId="16" fillId="0" borderId="0" xfId="0" applyFont="1" applyAlignment="1">
      <alignment horizontal="center" vertical="center"/>
    </xf>
    <xf numFmtId="0" fontId="2" fillId="0" borderId="34" xfId="0" applyFont="1" applyBorder="1" applyAlignment="1">
      <alignment vertical="center" wrapText="1"/>
    </xf>
    <xf numFmtId="3" fontId="2" fillId="0" borderId="36" xfId="0" applyNumberFormat="1" applyFont="1" applyBorder="1" applyAlignment="1">
      <alignment horizontal="center" vertical="center" wrapText="1"/>
    </xf>
    <xf numFmtId="3" fontId="2" fillId="0" borderId="37" xfId="0" applyNumberFormat="1" applyFont="1" applyBorder="1" applyAlignment="1">
      <alignment horizontal="center" vertical="center" wrapText="1"/>
    </xf>
    <xf numFmtId="165" fontId="5" fillId="0" borderId="20" xfId="0" applyNumberFormat="1" applyFont="1" applyBorder="1" applyAlignment="1">
      <alignment horizontal="center" vertical="center" wrapText="1"/>
    </xf>
    <xf numFmtId="8" fontId="23" fillId="6" borderId="23" xfId="0" applyNumberFormat="1" applyFont="1" applyFill="1" applyBorder="1" applyAlignment="1">
      <alignment horizontal="center" vertical="center" wrapText="1"/>
    </xf>
    <xf numFmtId="8" fontId="0" fillId="0" borderId="0" xfId="0" applyNumberFormat="1"/>
    <xf numFmtId="0" fontId="2" fillId="0" borderId="21" xfId="0" applyFont="1" applyBorder="1" applyAlignment="1">
      <alignment horizontal="left" vertical="center" wrapText="1"/>
    </xf>
    <xf numFmtId="164" fontId="2" fillId="0" borderId="19" xfId="1" applyNumberFormat="1" applyFont="1" applyBorder="1" applyAlignment="1">
      <alignment horizontal="center" vertical="center" wrapText="1"/>
    </xf>
    <xf numFmtId="164" fontId="2" fillId="0" borderId="20" xfId="1" applyNumberFormat="1" applyFont="1" applyBorder="1" applyAlignment="1">
      <alignment horizontal="left" vertical="center" wrapText="1"/>
    </xf>
    <xf numFmtId="164" fontId="2" fillId="0" borderId="21" xfId="1" applyNumberFormat="1" applyFont="1" applyBorder="1" applyAlignment="1">
      <alignment horizontal="center" vertical="center" wrapText="1"/>
    </xf>
    <xf numFmtId="0" fontId="2" fillId="0" borderId="32" xfId="0" applyFont="1" applyBorder="1" applyAlignment="1">
      <alignment horizontal="center"/>
    </xf>
    <xf numFmtId="0" fontId="2" fillId="0" borderId="20" xfId="0" applyFont="1" applyBorder="1" applyAlignment="1">
      <alignment horizontal="center"/>
    </xf>
    <xf numFmtId="165" fontId="2" fillId="0" borderId="20" xfId="0" applyNumberFormat="1" applyFont="1" applyBorder="1" applyAlignment="1">
      <alignment horizontal="center"/>
    </xf>
    <xf numFmtId="165" fontId="2" fillId="0" borderId="21" xfId="0" applyNumberFormat="1" applyFont="1" applyBorder="1" applyAlignment="1">
      <alignment horizontal="center"/>
    </xf>
    <xf numFmtId="165" fontId="2" fillId="0" borderId="21" xfId="0" applyNumberFormat="1" applyFont="1" applyBorder="1" applyAlignment="1">
      <alignment horizontal="center" vertical="top" wrapText="1"/>
    </xf>
    <xf numFmtId="0" fontId="18" fillId="6" borderId="38" xfId="0" applyFont="1" applyFill="1" applyBorder="1" applyAlignment="1">
      <alignment horizontal="left" vertical="center" wrapText="1" indent="1"/>
    </xf>
    <xf numFmtId="0" fontId="18" fillId="6" borderId="39" xfId="0" applyFont="1" applyFill="1" applyBorder="1" applyAlignment="1">
      <alignment horizontal="left" vertical="center" wrapText="1" indent="1"/>
    </xf>
    <xf numFmtId="0" fontId="18" fillId="6" borderId="40" xfId="0" applyFont="1" applyFill="1" applyBorder="1" applyAlignment="1">
      <alignment horizontal="left" vertical="center" wrapText="1" indent="1"/>
    </xf>
    <xf numFmtId="0" fontId="2" fillId="0" borderId="28" xfId="0" applyFont="1" applyBorder="1" applyAlignment="1">
      <alignment horizontal="left" vertical="center" wrapText="1" indent="1"/>
    </xf>
    <xf numFmtId="0" fontId="2" fillId="0" borderId="25" xfId="0" applyFont="1" applyBorder="1" applyAlignment="1">
      <alignment horizontal="left" vertical="center" wrapText="1"/>
    </xf>
    <xf numFmtId="0" fontId="2" fillId="0" borderId="26" xfId="0" applyFont="1" applyBorder="1" applyAlignment="1">
      <alignment horizontal="center" vertical="center" wrapText="1"/>
    </xf>
    <xf numFmtId="0" fontId="5" fillId="0" borderId="19" xfId="0" applyFont="1" applyBorder="1" applyAlignment="1">
      <alignment horizontal="center" vertical="center" wrapText="1"/>
    </xf>
    <xf numFmtId="0" fontId="6" fillId="0" borderId="21" xfId="0" applyFont="1" applyBorder="1" applyAlignment="1">
      <alignment vertical="center" wrapText="1"/>
    </xf>
    <xf numFmtId="0" fontId="6" fillId="0" borderId="19" xfId="0" applyFont="1" applyBorder="1" applyAlignment="1">
      <alignment vertical="center" wrapText="1"/>
    </xf>
    <xf numFmtId="0" fontId="6" fillId="0" borderId="20" xfId="0" applyFont="1" applyBorder="1" applyAlignment="1">
      <alignment vertical="center" wrapText="1"/>
    </xf>
    <xf numFmtId="0" fontId="6" fillId="0" borderId="32" xfId="0" applyFont="1" applyBorder="1" applyAlignment="1">
      <alignment horizontal="center" vertical="center" wrapText="1"/>
    </xf>
    <xf numFmtId="0" fontId="6" fillId="0" borderId="20" xfId="0" applyFont="1" applyBorder="1" applyAlignment="1">
      <alignment horizontal="center" vertical="center" wrapText="1"/>
    </xf>
    <xf numFmtId="0" fontId="6" fillId="0" borderId="21"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0" xfId="0" applyFont="1" applyAlignment="1">
      <alignment horizontal="center" vertical="center" wrapText="1"/>
    </xf>
    <xf numFmtId="8" fontId="25" fillId="0" borderId="17" xfId="0" applyNumberFormat="1" applyFont="1" applyBorder="1" applyAlignment="1">
      <alignment horizontal="center" vertical="center" wrapText="1"/>
    </xf>
    <xf numFmtId="8" fontId="25" fillId="0" borderId="14" xfId="0" applyNumberFormat="1" applyFont="1" applyBorder="1" applyAlignment="1">
      <alignment horizontal="center" vertical="center" wrapText="1"/>
    </xf>
    <xf numFmtId="0" fontId="16" fillId="0" borderId="1" xfId="0" applyFont="1" applyBorder="1" applyAlignment="1">
      <alignment horizontal="center" vertical="center"/>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31" fillId="4" borderId="12" xfId="0" applyFont="1" applyFill="1" applyBorder="1" applyAlignment="1">
      <alignment horizontal="center" vertical="center" wrapText="1"/>
    </xf>
    <xf numFmtId="0" fontId="31" fillId="4" borderId="15" xfId="0" applyFont="1" applyFill="1" applyBorder="1" applyAlignment="1">
      <alignment horizontal="left" vertical="center" wrapText="1"/>
    </xf>
    <xf numFmtId="0" fontId="31" fillId="4" borderId="22" xfId="0" applyFont="1" applyFill="1" applyBorder="1" applyAlignment="1">
      <alignment horizontal="center" vertical="center" wrapText="1"/>
    </xf>
    <xf numFmtId="0" fontId="31" fillId="4" borderId="14" xfId="0" applyFont="1" applyFill="1" applyBorder="1" applyAlignment="1">
      <alignment horizontal="center" vertical="center" wrapText="1"/>
    </xf>
    <xf numFmtId="0" fontId="31" fillId="4" borderId="15" xfId="0" applyFont="1" applyFill="1" applyBorder="1" applyAlignment="1">
      <alignment horizontal="center" vertical="center" wrapText="1"/>
    </xf>
    <xf numFmtId="0" fontId="19" fillId="0" borderId="16" xfId="0" applyFont="1" applyBorder="1" applyAlignment="1">
      <alignment horizontal="center" vertical="center" wrapText="1"/>
    </xf>
    <xf numFmtId="0" fontId="22" fillId="0" borderId="18" xfId="0" applyFont="1" applyBorder="1" applyAlignment="1">
      <alignment horizontal="justify" vertical="center" wrapText="1"/>
    </xf>
    <xf numFmtId="3" fontId="22" fillId="0" borderId="33" xfId="0" applyNumberFormat="1" applyFont="1" applyBorder="1" applyAlignment="1">
      <alignment horizontal="center" vertical="center" wrapText="1"/>
    </xf>
    <xf numFmtId="3" fontId="22" fillId="0" borderId="17" xfId="0" applyNumberFormat="1" applyFont="1" applyBorder="1" applyAlignment="1">
      <alignment horizontal="center" vertical="center" wrapText="1"/>
    </xf>
    <xf numFmtId="8" fontId="22" fillId="0" borderId="17" xfId="0" applyNumberFormat="1" applyFont="1" applyBorder="1" applyAlignment="1">
      <alignment horizontal="center" vertical="center" wrapText="1"/>
    </xf>
    <xf numFmtId="44" fontId="22" fillId="0" borderId="18" xfId="0" applyNumberFormat="1" applyFont="1" applyBorder="1" applyAlignment="1">
      <alignment horizontal="center" vertical="center" wrapText="1"/>
    </xf>
    <xf numFmtId="0" fontId="19" fillId="0" borderId="12" xfId="0" applyFont="1" applyBorder="1" applyAlignment="1">
      <alignment horizontal="center" vertical="center" wrapText="1"/>
    </xf>
    <xf numFmtId="0" fontId="22" fillId="0" borderId="15" xfId="0" applyFont="1" applyBorder="1" applyAlignment="1">
      <alignment horizontal="justify" vertical="center" wrapText="1"/>
    </xf>
    <xf numFmtId="3" fontId="22" fillId="0" borderId="22" xfId="0" applyNumberFormat="1" applyFont="1" applyBorder="1" applyAlignment="1">
      <alignment horizontal="center" vertical="center" wrapText="1"/>
    </xf>
    <xf numFmtId="3" fontId="22" fillId="0" borderId="14" xfId="0" applyNumberFormat="1" applyFont="1" applyBorder="1" applyAlignment="1">
      <alignment horizontal="center" vertical="center" wrapText="1"/>
    </xf>
    <xf numFmtId="8" fontId="22" fillId="0" borderId="14" xfId="0" applyNumberFormat="1" applyFont="1" applyBorder="1" applyAlignment="1">
      <alignment horizontal="center" vertical="center" wrapText="1"/>
    </xf>
    <xf numFmtId="8" fontId="22" fillId="0" borderId="18" xfId="0" applyNumberFormat="1" applyFont="1" applyBorder="1" applyAlignment="1">
      <alignment horizontal="center" vertical="center" wrapText="1"/>
    </xf>
    <xf numFmtId="8" fontId="32" fillId="0" borderId="17" xfId="0" applyNumberFormat="1" applyFont="1" applyBorder="1" applyAlignment="1">
      <alignment horizontal="center" vertical="center" wrapText="1"/>
    </xf>
    <xf numFmtId="8" fontId="32" fillId="0" borderId="14" xfId="0" applyNumberFormat="1" applyFont="1" applyBorder="1" applyAlignment="1">
      <alignment horizontal="center" vertical="center" wrapText="1"/>
    </xf>
    <xf numFmtId="165" fontId="22" fillId="0" borderId="18" xfId="0" applyNumberFormat="1" applyFont="1" applyBorder="1" applyAlignment="1">
      <alignment horizontal="center" vertical="center" wrapText="1"/>
    </xf>
    <xf numFmtId="0" fontId="19" fillId="0" borderId="19" xfId="0" applyFont="1" applyBorder="1" applyAlignment="1">
      <alignment horizontal="center" vertical="center" wrapText="1"/>
    </xf>
    <xf numFmtId="44" fontId="22" fillId="0" borderId="35" xfId="0" applyNumberFormat="1" applyFont="1" applyBorder="1" applyAlignment="1">
      <alignment horizontal="center" vertical="center" wrapText="1"/>
    </xf>
    <xf numFmtId="0" fontId="19" fillId="0" borderId="18" xfId="0" applyFont="1" applyBorder="1" applyAlignment="1">
      <alignment vertical="center" wrapText="1"/>
    </xf>
    <xf numFmtId="3" fontId="19" fillId="0" borderId="33" xfId="0" applyNumberFormat="1" applyFont="1" applyBorder="1" applyAlignment="1">
      <alignment horizontal="center" vertical="center" wrapText="1"/>
    </xf>
    <xf numFmtId="3" fontId="19" fillId="0" borderId="17" xfId="0" applyNumberFormat="1" applyFont="1" applyBorder="1" applyAlignment="1">
      <alignment horizontal="center" vertical="center" wrapText="1"/>
    </xf>
    <xf numFmtId="165" fontId="22" fillId="0" borderId="14" xfId="0" applyNumberFormat="1" applyFont="1" applyBorder="1" applyAlignment="1">
      <alignment horizontal="center" vertical="center" wrapText="1"/>
    </xf>
    <xf numFmtId="44" fontId="22" fillId="0" borderId="14" xfId="0" applyNumberFormat="1" applyFont="1" applyBorder="1" applyAlignment="1">
      <alignment horizontal="center" vertical="center" wrapText="1"/>
    </xf>
    <xf numFmtId="8" fontId="19" fillId="0" borderId="18" xfId="0" applyNumberFormat="1" applyFont="1" applyBorder="1" applyAlignment="1">
      <alignment horizontal="center" vertical="center" wrapText="1"/>
    </xf>
    <xf numFmtId="0" fontId="19" fillId="0" borderId="34" xfId="0" applyFont="1" applyBorder="1" applyAlignment="1">
      <alignment vertical="center" wrapText="1"/>
    </xf>
    <xf numFmtId="3" fontId="19" fillId="0" borderId="37" xfId="0" applyNumberFormat="1" applyFont="1" applyBorder="1" applyAlignment="1">
      <alignment horizontal="center" vertical="center" wrapText="1"/>
    </xf>
    <xf numFmtId="165" fontId="22" fillId="0" borderId="20" xfId="0" applyNumberFormat="1" applyFont="1" applyBorder="1" applyAlignment="1">
      <alignment horizontal="center" vertical="center" wrapText="1"/>
    </xf>
    <xf numFmtId="3" fontId="19" fillId="0" borderId="20" xfId="0" applyNumberFormat="1" applyFont="1" applyBorder="1" applyAlignment="1">
      <alignment horizontal="center" vertical="center" wrapText="1"/>
    </xf>
    <xf numFmtId="0" fontId="19" fillId="0" borderId="21" xfId="0" applyFont="1" applyBorder="1" applyAlignment="1">
      <alignment vertical="center" wrapText="1"/>
    </xf>
    <xf numFmtId="8" fontId="19" fillId="0" borderId="20" xfId="0" applyNumberFormat="1" applyFont="1" applyBorder="1" applyAlignment="1">
      <alignment horizontal="center" vertical="center" wrapText="1"/>
    </xf>
    <xf numFmtId="0" fontId="31" fillId="5" borderId="22" xfId="0" applyFont="1" applyFill="1" applyBorder="1" applyAlignment="1">
      <alignment horizontal="center" vertical="center" wrapText="1"/>
    </xf>
    <xf numFmtId="0" fontId="19" fillId="0" borderId="15" xfId="0" applyFont="1" applyBorder="1" applyAlignment="1">
      <alignment vertical="center" wrapText="1"/>
    </xf>
    <xf numFmtId="0" fontId="21" fillId="0" borderId="2" xfId="0" applyFont="1" applyBorder="1" applyAlignment="1">
      <alignment vertical="center" wrapText="1"/>
    </xf>
    <xf numFmtId="0" fontId="17" fillId="2" borderId="12" xfId="0" applyFont="1" applyFill="1" applyBorder="1" applyAlignment="1">
      <alignment horizontal="center" vertical="center" wrapText="1"/>
    </xf>
    <xf numFmtId="0" fontId="35" fillId="3" borderId="13" xfId="0" applyFont="1" applyFill="1" applyBorder="1" applyAlignment="1">
      <alignment vertical="center" wrapText="1"/>
    </xf>
    <xf numFmtId="0" fontId="35" fillId="3" borderId="12" xfId="0" applyFont="1" applyFill="1" applyBorder="1" applyAlignment="1">
      <alignment vertical="center" wrapText="1"/>
    </xf>
    <xf numFmtId="0" fontId="35" fillId="3" borderId="14" xfId="0" applyFont="1" applyFill="1" applyBorder="1" applyAlignment="1">
      <alignment vertical="center" wrapText="1"/>
    </xf>
    <xf numFmtId="0" fontId="35" fillId="3" borderId="15" xfId="0" applyFont="1" applyFill="1" applyBorder="1" applyAlignment="1">
      <alignment vertical="center" wrapText="1"/>
    </xf>
    <xf numFmtId="0" fontId="35" fillId="3" borderId="22" xfId="0" applyFont="1" applyFill="1" applyBorder="1" applyAlignment="1">
      <alignment vertical="center" wrapText="1"/>
    </xf>
    <xf numFmtId="0" fontId="19" fillId="0" borderId="15" xfId="0" applyFont="1" applyBorder="1" applyAlignment="1">
      <alignment horizontal="left" vertical="center" wrapText="1"/>
    </xf>
    <xf numFmtId="164" fontId="19" fillId="0" borderId="12" xfId="1" applyNumberFormat="1" applyFont="1" applyBorder="1" applyAlignment="1">
      <alignment horizontal="center" vertical="center" wrapText="1"/>
    </xf>
    <xf numFmtId="164" fontId="19" fillId="0" borderId="14" xfId="1" applyNumberFormat="1" applyFont="1" applyBorder="1" applyAlignment="1">
      <alignment horizontal="left" vertical="center" wrapText="1"/>
    </xf>
    <xf numFmtId="0" fontId="19" fillId="0" borderId="22" xfId="0" applyFont="1" applyBorder="1" applyAlignment="1">
      <alignment horizontal="center" vertical="top" wrapText="1"/>
    </xf>
    <xf numFmtId="0" fontId="19" fillId="0" borderId="14" xfId="0" applyFont="1" applyBorder="1" applyAlignment="1">
      <alignment horizontal="center" vertical="top" wrapText="1"/>
    </xf>
    <xf numFmtId="165" fontId="19" fillId="0" borderId="14" xfId="0" applyNumberFormat="1" applyFont="1" applyBorder="1" applyAlignment="1">
      <alignment horizontal="center" vertical="top" wrapText="1"/>
    </xf>
    <xf numFmtId="165" fontId="19" fillId="0" borderId="15" xfId="0" applyNumberFormat="1" applyFont="1" applyBorder="1" applyAlignment="1">
      <alignment horizontal="center" vertical="top" wrapText="1"/>
    </xf>
    <xf numFmtId="0" fontId="19" fillId="0" borderId="21" xfId="0" applyFont="1" applyBorder="1" applyAlignment="1">
      <alignment horizontal="left" vertical="center" wrapText="1"/>
    </xf>
    <xf numFmtId="164" fontId="19" fillId="0" borderId="19" xfId="1" applyNumberFormat="1" applyFont="1" applyBorder="1" applyAlignment="1">
      <alignment horizontal="center" vertical="center" wrapText="1"/>
    </xf>
    <xf numFmtId="164" fontId="19" fillId="0" borderId="20" xfId="1" applyNumberFormat="1" applyFont="1" applyBorder="1" applyAlignment="1">
      <alignment horizontal="left" vertical="center" wrapText="1"/>
    </xf>
    <xf numFmtId="44" fontId="22" fillId="0" borderId="20" xfId="0" applyNumberFormat="1" applyFont="1" applyBorder="1" applyAlignment="1">
      <alignment horizontal="center" vertical="center" wrapText="1"/>
    </xf>
    <xf numFmtId="0" fontId="19" fillId="0" borderId="32" xfId="0" applyFont="1" applyBorder="1" applyAlignment="1">
      <alignment horizontal="center" vertical="top" wrapText="1"/>
    </xf>
    <xf numFmtId="0" fontId="19" fillId="0" borderId="20" xfId="0" applyFont="1" applyBorder="1" applyAlignment="1">
      <alignment horizontal="center" vertical="top" wrapText="1"/>
    </xf>
    <xf numFmtId="165" fontId="19" fillId="0" borderId="20" xfId="0" applyNumberFormat="1" applyFont="1" applyBorder="1" applyAlignment="1">
      <alignment horizontal="center" vertical="top" wrapText="1"/>
    </xf>
    <xf numFmtId="165" fontId="19" fillId="0" borderId="21" xfId="0" applyNumberFormat="1" applyFont="1" applyBorder="1" applyAlignment="1">
      <alignment horizontal="center" vertical="top" wrapText="1"/>
    </xf>
    <xf numFmtId="164" fontId="19" fillId="0" borderId="21" xfId="1" applyNumberFormat="1" applyFont="1" applyBorder="1" applyAlignment="1">
      <alignment horizontal="center" vertical="center" wrapText="1"/>
    </xf>
    <xf numFmtId="0" fontId="19" fillId="0" borderId="32" xfId="0" applyFont="1" applyBorder="1" applyAlignment="1">
      <alignment horizontal="center"/>
    </xf>
    <xf numFmtId="0" fontId="19" fillId="0" borderId="20" xfId="0" applyFont="1" applyBorder="1" applyAlignment="1">
      <alignment horizontal="center"/>
    </xf>
    <xf numFmtId="165" fontId="19" fillId="0" borderId="20" xfId="0" applyNumberFormat="1" applyFont="1" applyBorder="1" applyAlignment="1">
      <alignment horizontal="center"/>
    </xf>
    <xf numFmtId="165" fontId="19" fillId="0" borderId="21" xfId="0" applyNumberFormat="1" applyFont="1" applyBorder="1" applyAlignment="1">
      <alignment horizontal="center"/>
    </xf>
    <xf numFmtId="0" fontId="22" fillId="0" borderId="19" xfId="0" applyFont="1" applyBorder="1" applyAlignment="1">
      <alignment horizontal="center" vertical="center" wrapText="1"/>
    </xf>
    <xf numFmtId="0" fontId="20" fillId="0" borderId="21" xfId="0" applyFont="1" applyBorder="1" applyAlignment="1">
      <alignment vertical="center" wrapText="1"/>
    </xf>
    <xf numFmtId="0" fontId="20" fillId="0" borderId="19" xfId="0" applyFont="1" applyBorder="1" applyAlignment="1">
      <alignment vertical="center" wrapText="1"/>
    </xf>
    <xf numFmtId="0" fontId="20" fillId="0" borderId="20" xfId="0" applyFont="1" applyBorder="1" applyAlignment="1">
      <alignment vertical="center" wrapText="1"/>
    </xf>
    <xf numFmtId="0" fontId="20" fillId="0" borderId="32" xfId="0" applyFont="1" applyBorder="1" applyAlignment="1">
      <alignment horizontal="center" vertical="center" wrapText="1"/>
    </xf>
    <xf numFmtId="0" fontId="20" fillId="0" borderId="20" xfId="0" applyFont="1" applyBorder="1" applyAlignment="1">
      <alignment horizontal="center" vertical="center" wrapText="1"/>
    </xf>
    <xf numFmtId="0" fontId="20" fillId="0" borderId="21" xfId="0" applyFont="1" applyBorder="1" applyAlignment="1">
      <alignment horizontal="center" vertical="center" wrapText="1"/>
    </xf>
    <xf numFmtId="0" fontId="20" fillId="0" borderId="19" xfId="0" applyFont="1" applyBorder="1" applyAlignment="1">
      <alignment horizontal="center" vertical="center" wrapText="1"/>
    </xf>
    <xf numFmtId="0" fontId="19" fillId="0" borderId="28" xfId="0" applyFont="1" applyBorder="1" applyAlignment="1">
      <alignment horizontal="center" vertical="center" wrapText="1"/>
    </xf>
    <xf numFmtId="0" fontId="19" fillId="0" borderId="26" xfId="0" applyFont="1" applyBorder="1" applyAlignment="1">
      <alignment horizontal="left" vertical="center" wrapText="1"/>
    </xf>
    <xf numFmtId="0" fontId="19" fillId="0" borderId="28" xfId="0" applyFont="1" applyBorder="1" applyAlignment="1">
      <alignment horizontal="left" vertical="center" wrapText="1" indent="1"/>
    </xf>
    <xf numFmtId="0" fontId="19" fillId="0" borderId="25" xfId="0" applyFont="1" applyBorder="1" applyAlignment="1">
      <alignment horizontal="left" vertical="center" wrapText="1"/>
    </xf>
    <xf numFmtId="0" fontId="19" fillId="0" borderId="26" xfId="0" applyFont="1" applyBorder="1" applyAlignment="1">
      <alignment horizontal="center" vertical="center" wrapText="1"/>
    </xf>
    <xf numFmtId="0" fontId="19" fillId="0" borderId="27" xfId="0" applyFont="1" applyBorder="1" applyAlignment="1">
      <alignment horizontal="center"/>
    </xf>
    <xf numFmtId="0" fontId="19" fillId="0" borderId="25" xfId="0" applyFont="1" applyBorder="1" applyAlignment="1">
      <alignment horizontal="center"/>
    </xf>
    <xf numFmtId="165" fontId="19" fillId="0" borderId="25" xfId="0" applyNumberFormat="1" applyFont="1" applyBorder="1" applyAlignment="1">
      <alignment horizontal="center"/>
    </xf>
    <xf numFmtId="165" fontId="19" fillId="0" borderId="26" xfId="0" applyNumberFormat="1" applyFont="1" applyBorder="1" applyAlignment="1">
      <alignment horizontal="center"/>
    </xf>
    <xf numFmtId="0" fontId="19" fillId="0" borderId="28" xfId="0" applyFont="1" applyBorder="1" applyAlignment="1">
      <alignment horizontal="center"/>
    </xf>
    <xf numFmtId="165" fontId="5" fillId="0" borderId="14" xfId="0" applyNumberFormat="1" applyFont="1" applyBorder="1" applyAlignment="1">
      <alignment horizontal="center" vertical="center" wrapText="1"/>
    </xf>
    <xf numFmtId="3" fontId="5" fillId="0" borderId="37" xfId="0" applyNumberFormat="1" applyFont="1" applyBorder="1" applyAlignment="1">
      <alignment horizontal="center" vertical="center" wrapText="1"/>
    </xf>
    <xf numFmtId="165" fontId="5" fillId="0" borderId="15" xfId="0" applyNumberFormat="1" applyFont="1" applyBorder="1" applyAlignment="1">
      <alignment horizontal="center" vertical="top" wrapText="1"/>
    </xf>
    <xf numFmtId="3" fontId="22" fillId="0" borderId="37" xfId="0" applyNumberFormat="1" applyFont="1" applyBorder="1" applyAlignment="1">
      <alignment horizontal="center" vertical="center" wrapText="1"/>
    </xf>
    <xf numFmtId="3" fontId="22" fillId="0" borderId="20" xfId="0" applyNumberFormat="1" applyFont="1" applyBorder="1" applyAlignment="1">
      <alignment horizontal="center" vertical="center" wrapText="1"/>
    </xf>
    <xf numFmtId="165" fontId="22" fillId="0" borderId="15" xfId="0" applyNumberFormat="1" applyFont="1" applyBorder="1" applyAlignment="1">
      <alignment horizontal="center" vertical="top" wrapText="1"/>
    </xf>
    <xf numFmtId="164" fontId="22" fillId="0" borderId="14" xfId="1" applyNumberFormat="1" applyFont="1" applyBorder="1" applyAlignment="1">
      <alignment horizontal="left" vertical="center" wrapText="1"/>
    </xf>
    <xf numFmtId="0" fontId="18" fillId="6" borderId="41" xfId="0" applyFont="1" applyFill="1" applyBorder="1" applyAlignment="1">
      <alignment horizontal="left" vertical="center" wrapText="1" indent="1"/>
    </xf>
    <xf numFmtId="0" fontId="27" fillId="0" borderId="12" xfId="0" applyFont="1" applyBorder="1" applyAlignment="1">
      <alignment horizontal="center"/>
    </xf>
    <xf numFmtId="0" fontId="16" fillId="0" borderId="5" xfId="0" applyFont="1" applyBorder="1" applyAlignment="1">
      <alignment horizontal="left" vertical="center"/>
    </xf>
    <xf numFmtId="0" fontId="0" fillId="0" borderId="4" xfId="0" applyBorder="1" applyAlignment="1">
      <alignment horizontal="center"/>
    </xf>
    <xf numFmtId="0" fontId="0" fillId="0" borderId="5" xfId="0" applyBorder="1"/>
    <xf numFmtId="0" fontId="18" fillId="6" borderId="42" xfId="0" applyFont="1" applyFill="1" applyBorder="1" applyAlignment="1">
      <alignment horizontal="left" vertical="center" wrapText="1" indent="1"/>
    </xf>
    <xf numFmtId="0" fontId="13" fillId="0" borderId="1" xfId="0" applyFont="1" applyBorder="1" applyAlignment="1">
      <alignment vertical="center" wrapText="1"/>
    </xf>
    <xf numFmtId="0" fontId="13" fillId="0" borderId="3" xfId="0" applyFont="1" applyBorder="1" applyAlignment="1">
      <alignment vertical="center" wrapText="1"/>
    </xf>
    <xf numFmtId="0" fontId="18" fillId="6" borderId="43" xfId="0" applyFont="1" applyFill="1" applyBorder="1" applyAlignment="1">
      <alignment horizontal="left" vertical="center" wrapText="1" indent="1"/>
    </xf>
    <xf numFmtId="0" fontId="28" fillId="0" borderId="4" xfId="0" applyFont="1" applyBorder="1" applyAlignment="1">
      <alignment vertical="center" wrapText="1"/>
    </xf>
    <xf numFmtId="0" fontId="28" fillId="0" borderId="5" xfId="0" applyFont="1" applyBorder="1" applyAlignment="1">
      <alignment vertical="center"/>
    </xf>
    <xf numFmtId="0" fontId="28" fillId="0" borderId="4" xfId="0" applyFont="1" applyBorder="1" applyAlignment="1">
      <alignment vertical="center"/>
    </xf>
    <xf numFmtId="0" fontId="28" fillId="0" borderId="9" xfId="0" applyFont="1" applyBorder="1" applyAlignment="1">
      <alignment vertical="center"/>
    </xf>
    <xf numFmtId="0" fontId="28" fillId="0" borderId="11" xfId="0" applyFont="1" applyBorder="1" applyAlignment="1">
      <alignment vertical="center"/>
    </xf>
    <xf numFmtId="44" fontId="23" fillId="6" borderId="23" xfId="0" applyNumberFormat="1" applyFont="1" applyFill="1" applyBorder="1" applyAlignment="1">
      <alignment horizontal="center" vertical="center" wrapText="1"/>
    </xf>
    <xf numFmtId="0" fontId="16" fillId="0" borderId="4" xfId="0" applyFont="1" applyBorder="1" applyAlignment="1">
      <alignment horizontal="center"/>
    </xf>
    <xf numFmtId="0" fontId="21" fillId="0" borderId="1" xfId="0" applyFont="1" applyBorder="1" applyAlignment="1">
      <alignment vertical="center" wrapText="1"/>
    </xf>
    <xf numFmtId="0" fontId="21" fillId="0" borderId="3" xfId="0" applyFont="1" applyBorder="1" applyAlignment="1">
      <alignment vertical="center" wrapText="1"/>
    </xf>
    <xf numFmtId="44" fontId="34" fillId="6" borderId="23" xfId="0" applyNumberFormat="1" applyFont="1" applyFill="1" applyBorder="1" applyAlignment="1">
      <alignment horizontal="center" vertical="center" wrapText="1"/>
    </xf>
    <xf numFmtId="0" fontId="2" fillId="0" borderId="28" xfId="0" applyFont="1" applyBorder="1" applyAlignment="1">
      <alignment horizontal="center" vertical="center"/>
    </xf>
    <xf numFmtId="0" fontId="2" fillId="0" borderId="25" xfId="0" applyFont="1" applyBorder="1" applyAlignment="1">
      <alignment horizontal="center" vertical="center"/>
    </xf>
    <xf numFmtId="165" fontId="2" fillId="0" borderId="26" xfId="0" applyNumberFormat="1" applyFont="1" applyBorder="1" applyAlignment="1">
      <alignment horizontal="center" vertical="center"/>
    </xf>
    <xf numFmtId="0" fontId="26" fillId="0" borderId="1" xfId="0" applyFont="1" applyBorder="1" applyAlignment="1">
      <alignment horizontal="left"/>
    </xf>
    <xf numFmtId="0" fontId="26" fillId="0" borderId="3" xfId="0" applyFont="1" applyBorder="1" applyAlignment="1">
      <alignment horizontal="left"/>
    </xf>
    <xf numFmtId="0" fontId="10" fillId="0" borderId="6" xfId="0" applyFont="1" applyBorder="1" applyAlignment="1">
      <alignment horizontal="center"/>
    </xf>
    <xf numFmtId="0" fontId="10" fillId="0" borderId="7" xfId="0" applyFont="1" applyBorder="1" applyAlignment="1">
      <alignment horizontal="center"/>
    </xf>
    <xf numFmtId="0" fontId="10" fillId="0" borderId="8" xfId="0" applyFont="1" applyBorder="1" applyAlignment="1">
      <alignment horizontal="center"/>
    </xf>
    <xf numFmtId="0" fontId="3" fillId="6" borderId="30" xfId="0" applyFont="1" applyFill="1" applyBorder="1" applyAlignment="1">
      <alignment horizontal="right" vertical="center" wrapText="1"/>
    </xf>
    <xf numFmtId="0" fontId="3" fillId="6" borderId="29" xfId="0" applyFont="1" applyFill="1" applyBorder="1" applyAlignment="1">
      <alignment horizontal="right" vertical="center" wrapText="1"/>
    </xf>
    <xf numFmtId="0" fontId="3" fillId="6" borderId="27" xfId="0" applyFont="1" applyFill="1" applyBorder="1" applyAlignment="1">
      <alignment horizontal="right" vertical="center" wrapText="1"/>
    </xf>
    <xf numFmtId="0" fontId="31" fillId="5" borderId="24" xfId="0" applyFont="1" applyFill="1" applyBorder="1" applyAlignment="1">
      <alignment horizontal="right" vertical="center" wrapText="1"/>
    </xf>
    <xf numFmtId="0" fontId="11" fillId="0" borderId="24"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0" xfId="0" applyFont="1" applyAlignment="1">
      <alignment horizontal="center" vertical="center" wrapText="1"/>
    </xf>
    <xf numFmtId="0" fontId="14" fillId="0" borderId="5" xfId="0" applyFont="1" applyBorder="1" applyAlignment="1">
      <alignment horizontal="center" vertical="center" wrapText="1"/>
    </xf>
    <xf numFmtId="0" fontId="9" fillId="0" borderId="4" xfId="2" applyFill="1" applyBorder="1" applyAlignment="1">
      <alignment horizontal="center" vertical="center" wrapText="1"/>
    </xf>
    <xf numFmtId="0" fontId="15" fillId="0" borderId="0" xfId="2" applyFont="1" applyFill="1" applyBorder="1" applyAlignment="1">
      <alignment horizontal="center" vertical="center" wrapText="1"/>
    </xf>
    <xf numFmtId="0" fontId="15" fillId="0" borderId="5" xfId="2" applyFont="1" applyFill="1" applyBorder="1" applyAlignment="1">
      <alignment horizontal="center" vertical="center" wrapText="1"/>
    </xf>
    <xf numFmtId="0" fontId="14" fillId="0" borderId="0" xfId="0" applyFont="1" applyAlignment="1">
      <alignment horizontal="center" vertical="center"/>
    </xf>
    <xf numFmtId="0" fontId="14" fillId="0" borderId="5" xfId="0" applyFont="1" applyBorder="1" applyAlignment="1">
      <alignment horizontal="center" vertical="center"/>
    </xf>
    <xf numFmtId="0" fontId="14" fillId="0" borderId="9" xfId="0" applyFont="1" applyBorder="1" applyAlignment="1">
      <alignment horizontal="center"/>
    </xf>
    <xf numFmtId="0" fontId="14" fillId="0" borderId="10" xfId="0" applyFont="1" applyBorder="1" applyAlignment="1">
      <alignment horizontal="center"/>
    </xf>
    <xf numFmtId="0" fontId="14" fillId="0" borderId="11" xfId="0" applyFont="1" applyBorder="1" applyAlignment="1">
      <alignment horizontal="center"/>
    </xf>
    <xf numFmtId="0" fontId="23" fillId="6" borderId="30" xfId="0" applyFont="1" applyFill="1" applyBorder="1" applyAlignment="1">
      <alignment horizontal="right" vertical="center" wrapText="1"/>
    </xf>
    <xf numFmtId="0" fontId="23" fillId="6" borderId="31" xfId="0" applyFont="1" applyFill="1" applyBorder="1" applyAlignment="1">
      <alignment horizontal="right" vertical="center" wrapText="1"/>
    </xf>
    <xf numFmtId="0" fontId="9" fillId="0" borderId="0" xfId="2" applyFill="1" applyBorder="1" applyAlignment="1">
      <alignment horizontal="center" vertical="center" wrapText="1"/>
    </xf>
    <xf numFmtId="0" fontId="33" fillId="0" borderId="24" xfId="0" applyFont="1" applyBorder="1" applyAlignment="1">
      <alignment horizontal="center" vertical="center" wrapText="1"/>
    </xf>
    <xf numFmtId="0" fontId="18" fillId="6" borderId="30" xfId="0" applyFont="1" applyFill="1" applyBorder="1" applyAlignment="1">
      <alignment horizontal="right" vertical="center" wrapText="1"/>
    </xf>
    <xf numFmtId="0" fontId="18" fillId="6" borderId="29" xfId="0" applyFont="1" applyFill="1" applyBorder="1" applyAlignment="1">
      <alignment horizontal="right" vertical="center" wrapText="1"/>
    </xf>
    <xf numFmtId="0" fontId="18" fillId="6" borderId="27" xfId="0" applyFont="1" applyFill="1" applyBorder="1" applyAlignment="1">
      <alignment horizontal="right" vertical="center" wrapText="1"/>
    </xf>
    <xf numFmtId="0" fontId="29" fillId="0" borderId="4" xfId="0" applyFont="1" applyBorder="1" applyAlignment="1">
      <alignment horizontal="center" vertical="center" wrapText="1"/>
    </xf>
    <xf numFmtId="0" fontId="29" fillId="0" borderId="0" xfId="0" applyFont="1" applyAlignment="1">
      <alignment horizontal="center" vertical="center" wrapText="1"/>
    </xf>
    <xf numFmtId="0" fontId="29" fillId="0" borderId="5" xfId="0" applyFont="1" applyBorder="1" applyAlignment="1">
      <alignment horizontal="center" vertical="center" wrapText="1"/>
    </xf>
    <xf numFmtId="0" fontId="30" fillId="0" borderId="4" xfId="2" applyFont="1" applyFill="1" applyBorder="1" applyAlignment="1">
      <alignment horizontal="center" vertical="center" wrapText="1"/>
    </xf>
    <xf numFmtId="0" fontId="30" fillId="0" borderId="0" xfId="2" applyFont="1" applyFill="1" applyBorder="1" applyAlignment="1">
      <alignment horizontal="center" vertical="center" wrapText="1"/>
    </xf>
    <xf numFmtId="0" fontId="30" fillId="0" borderId="5" xfId="2" applyFont="1" applyFill="1" applyBorder="1" applyAlignment="1">
      <alignment horizontal="center" vertical="center" wrapText="1"/>
    </xf>
    <xf numFmtId="0" fontId="29" fillId="0" borderId="0" xfId="0" applyFont="1" applyAlignment="1">
      <alignment horizontal="center" vertical="center"/>
    </xf>
    <xf numFmtId="0" fontId="29" fillId="0" borderId="5" xfId="0" applyFont="1" applyBorder="1" applyAlignment="1">
      <alignment horizontal="center" vertical="center"/>
    </xf>
    <xf numFmtId="0" fontId="29" fillId="0" borderId="9" xfId="0" applyFont="1" applyBorder="1" applyAlignment="1">
      <alignment horizontal="center"/>
    </xf>
    <xf numFmtId="0" fontId="29" fillId="0" borderId="10" xfId="0" applyFont="1" applyBorder="1" applyAlignment="1">
      <alignment horizontal="center"/>
    </xf>
    <xf numFmtId="0" fontId="29" fillId="0" borderId="11" xfId="0" applyFont="1" applyBorder="1" applyAlignment="1">
      <alignment horizontal="center"/>
    </xf>
    <xf numFmtId="0" fontId="34" fillId="6" borderId="30" xfId="0" applyFont="1" applyFill="1" applyBorder="1" applyAlignment="1">
      <alignment horizontal="right" vertical="center" wrapText="1"/>
    </xf>
    <xf numFmtId="0" fontId="34" fillId="6" borderId="31" xfId="0" applyFont="1" applyFill="1" applyBorder="1" applyAlignment="1">
      <alignment horizontal="right" vertical="center" wrapText="1"/>
    </xf>
    <xf numFmtId="3" fontId="37" fillId="0" borderId="33" xfId="0" applyNumberFormat="1" applyFont="1" applyBorder="1" applyAlignment="1">
      <alignment horizontal="center" vertical="center" wrapText="1"/>
    </xf>
    <xf numFmtId="3" fontId="38" fillId="0" borderId="22" xfId="0" applyNumberFormat="1" applyFont="1" applyBorder="1" applyAlignment="1">
      <alignment horizontal="center" vertical="center" wrapText="1"/>
    </xf>
    <xf numFmtId="3" fontId="38" fillId="0" borderId="14" xfId="0" applyNumberFormat="1" applyFont="1" applyBorder="1" applyAlignment="1">
      <alignment horizontal="center" vertical="center" wrapText="1"/>
    </xf>
    <xf numFmtId="3" fontId="38" fillId="0" borderId="33" xfId="0" applyNumberFormat="1" applyFont="1" applyBorder="1" applyAlignment="1">
      <alignment horizontal="center" vertical="center" wrapText="1"/>
    </xf>
    <xf numFmtId="3" fontId="38" fillId="0" borderId="17" xfId="0" applyNumberFormat="1" applyFont="1" applyBorder="1" applyAlignment="1">
      <alignment horizontal="center" vertical="center" wrapText="1"/>
    </xf>
    <xf numFmtId="3" fontId="38" fillId="0" borderId="32" xfId="0" applyNumberFormat="1" applyFont="1" applyBorder="1" applyAlignment="1">
      <alignment horizontal="center" vertical="center" wrapText="1"/>
    </xf>
    <xf numFmtId="3" fontId="38" fillId="0" borderId="20" xfId="0" applyNumberFormat="1" applyFont="1" applyBorder="1" applyAlignment="1">
      <alignment horizontal="center" vertical="center" wrapText="1"/>
    </xf>
    <xf numFmtId="0" fontId="39" fillId="0" borderId="12" xfId="0" applyFont="1" applyBorder="1" applyAlignment="1">
      <alignment horizontal="center"/>
    </xf>
    <xf numFmtId="0" fontId="8" fillId="0" borderId="5" xfId="0" applyFont="1" applyBorder="1"/>
    <xf numFmtId="3" fontId="19" fillId="0" borderId="12" xfId="0" applyNumberFormat="1" applyFont="1" applyBorder="1" applyAlignment="1">
      <alignment horizontal="center" vertical="center" wrapText="1"/>
    </xf>
  </cellXfs>
  <cellStyles count="3">
    <cellStyle name="Comma" xfId="1" builtinId="3"/>
    <cellStyle name="Hyperlink" xfId="2" builtinId="8"/>
    <cellStyle name="Normal" xfId="0" builtinId="0"/>
  </cellStyles>
  <dxfs count="0"/>
  <tableStyles count="0" defaultTableStyle="TableStyleMedium2" defaultPivotStyle="PivotStyleLight16"/>
  <colors>
    <mruColors>
      <color rgb="FF1F8DBF"/>
      <color rgb="FF156082"/>
      <color rgb="FFFF6165"/>
      <color rgb="FF64B6CF"/>
      <color rgb="FF47B1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918882</xdr:colOff>
      <xdr:row>2</xdr:row>
      <xdr:rowOff>100853</xdr:rowOff>
    </xdr:from>
    <xdr:to>
      <xdr:col>6</xdr:col>
      <xdr:colOff>238500</xdr:colOff>
      <xdr:row>7</xdr:row>
      <xdr:rowOff>55636</xdr:rowOff>
    </xdr:to>
    <xdr:pic>
      <xdr:nvPicPr>
        <xdr:cNvPr id="3" name="Picture 2">
          <a:extLst>
            <a:ext uri="{FF2B5EF4-FFF2-40B4-BE49-F238E27FC236}">
              <a16:creationId xmlns:a16="http://schemas.microsoft.com/office/drawing/2014/main" id="{7B153E6E-680F-3D70-B71A-EE5E4FC9EF34}"/>
            </a:ext>
          </a:extLst>
        </xdr:cNvPr>
        <xdr:cNvPicPr>
          <a:picLocks noChangeAspect="1"/>
        </xdr:cNvPicPr>
      </xdr:nvPicPr>
      <xdr:blipFill>
        <a:blip xmlns:r="http://schemas.openxmlformats.org/officeDocument/2006/relationships" r:embed="rId1"/>
        <a:stretch>
          <a:fillRect/>
        </a:stretch>
      </xdr:blipFill>
      <xdr:spPr>
        <a:xfrm>
          <a:off x="6958853" y="302559"/>
          <a:ext cx="1647265" cy="985863"/>
        </a:xfrm>
        <a:prstGeom prst="rect">
          <a:avLst/>
        </a:prstGeom>
        <a:ln>
          <a:solidFill>
            <a:schemeClr val="accent1"/>
          </a:solidFill>
        </a:ln>
      </xdr:spPr>
    </xdr:pic>
    <xdr:clientData/>
  </xdr:twoCellAnchor>
  <xdr:twoCellAnchor editAs="oneCell">
    <xdr:from>
      <xdr:col>8</xdr:col>
      <xdr:colOff>885265</xdr:colOff>
      <xdr:row>2</xdr:row>
      <xdr:rowOff>78440</xdr:rowOff>
    </xdr:from>
    <xdr:to>
      <xdr:col>9</xdr:col>
      <xdr:colOff>848474</xdr:colOff>
      <xdr:row>7</xdr:row>
      <xdr:rowOff>56702</xdr:rowOff>
    </xdr:to>
    <xdr:pic>
      <xdr:nvPicPr>
        <xdr:cNvPr id="7" name="Picture 6">
          <a:extLst>
            <a:ext uri="{FF2B5EF4-FFF2-40B4-BE49-F238E27FC236}">
              <a16:creationId xmlns:a16="http://schemas.microsoft.com/office/drawing/2014/main" id="{2716F77D-B498-F305-9C6B-08509189F661}"/>
            </a:ext>
          </a:extLst>
        </xdr:cNvPr>
        <xdr:cNvPicPr>
          <a:picLocks noChangeAspect="1"/>
        </xdr:cNvPicPr>
      </xdr:nvPicPr>
      <xdr:blipFill>
        <a:blip xmlns:r="http://schemas.openxmlformats.org/officeDocument/2006/relationships" r:embed="rId2"/>
        <a:stretch>
          <a:fillRect/>
        </a:stretch>
      </xdr:blipFill>
      <xdr:spPr>
        <a:xfrm>
          <a:off x="11777383" y="280146"/>
          <a:ext cx="1053352" cy="1002992"/>
        </a:xfrm>
        <a:prstGeom prst="rect">
          <a:avLst/>
        </a:prstGeom>
        <a:ln>
          <a:solidFill>
            <a:schemeClr val="accent1"/>
          </a:solidFill>
        </a:ln>
      </xdr:spPr>
    </xdr:pic>
    <xdr:clientData/>
  </xdr:twoCellAnchor>
  <xdr:twoCellAnchor editAs="oneCell">
    <xdr:from>
      <xdr:col>12</xdr:col>
      <xdr:colOff>347382</xdr:colOff>
      <xdr:row>2</xdr:row>
      <xdr:rowOff>100854</xdr:rowOff>
    </xdr:from>
    <xdr:to>
      <xdr:col>14</xdr:col>
      <xdr:colOff>350558</xdr:colOff>
      <xdr:row>6</xdr:row>
      <xdr:rowOff>168798</xdr:rowOff>
    </xdr:to>
    <xdr:pic>
      <xdr:nvPicPr>
        <xdr:cNvPr id="8" name="Picture 7">
          <a:extLst>
            <a:ext uri="{FF2B5EF4-FFF2-40B4-BE49-F238E27FC236}">
              <a16:creationId xmlns:a16="http://schemas.microsoft.com/office/drawing/2014/main" id="{16A45190-CDA9-6434-43D2-763B998B0157}"/>
            </a:ext>
          </a:extLst>
        </xdr:cNvPr>
        <xdr:cNvPicPr>
          <a:picLocks noChangeAspect="1"/>
        </xdr:cNvPicPr>
      </xdr:nvPicPr>
      <xdr:blipFill>
        <a:blip xmlns:r="http://schemas.openxmlformats.org/officeDocument/2006/relationships" r:embed="rId3"/>
        <a:stretch>
          <a:fillRect/>
        </a:stretch>
      </xdr:blipFill>
      <xdr:spPr>
        <a:xfrm>
          <a:off x="16069235" y="302560"/>
          <a:ext cx="2308412" cy="901380"/>
        </a:xfrm>
        <a:prstGeom prst="rect">
          <a:avLst/>
        </a:prstGeom>
        <a:ln>
          <a:solidFill>
            <a:schemeClr val="accent1"/>
          </a:solidFill>
        </a:ln>
      </xdr:spPr>
    </xdr:pic>
    <xdr:clientData/>
  </xdr:twoCellAnchor>
  <xdr:twoCellAnchor>
    <xdr:from>
      <xdr:col>1</xdr:col>
      <xdr:colOff>353785</xdr:colOff>
      <xdr:row>5</xdr:row>
      <xdr:rowOff>68035</xdr:rowOff>
    </xdr:from>
    <xdr:to>
      <xdr:col>2</xdr:col>
      <xdr:colOff>3905250</xdr:colOff>
      <xdr:row>11</xdr:row>
      <xdr:rowOff>81643</xdr:rowOff>
    </xdr:to>
    <xdr:sp macro="" textlink="">
      <xdr:nvSpPr>
        <xdr:cNvPr id="2" name="TextBox 1">
          <a:extLst>
            <a:ext uri="{FF2B5EF4-FFF2-40B4-BE49-F238E27FC236}">
              <a16:creationId xmlns:a16="http://schemas.microsoft.com/office/drawing/2014/main" id="{C936B040-E11E-2EE7-579D-DD6EBDA2DFFE}"/>
            </a:ext>
          </a:extLst>
        </xdr:cNvPr>
        <xdr:cNvSpPr txBox="1"/>
      </xdr:nvSpPr>
      <xdr:spPr>
        <a:xfrm>
          <a:off x="993321" y="1183821"/>
          <a:ext cx="4136572" cy="1115786"/>
        </a:xfrm>
        <a:prstGeom prst="rect">
          <a:avLst/>
        </a:prstGeom>
        <a:solidFill>
          <a:schemeClr val="lt1"/>
        </a:solidFill>
        <a:ln w="285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t>ESTIMATED QUANTITES PROVIDED FOR ITEM I.3,</a:t>
          </a:r>
          <a:r>
            <a:rPr lang="en-US" sz="1400" b="1" baseline="0"/>
            <a:t> I.4, IV.1, &amp; V.3 ARE ROUGH ESTIMATES BASED ON VISUAL OBSERVATION MADE AT BUILDING 10. FINAL REPAIR QUANTITIES ARE HIGHLY LIKELY TO CHANGE</a:t>
          </a:r>
          <a:endParaRPr lang="en-US" sz="1400" b="1"/>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918882</xdr:colOff>
      <xdr:row>2</xdr:row>
      <xdr:rowOff>100853</xdr:rowOff>
    </xdr:from>
    <xdr:to>
      <xdr:col>6</xdr:col>
      <xdr:colOff>235324</xdr:colOff>
      <xdr:row>7</xdr:row>
      <xdr:rowOff>25814</xdr:rowOff>
    </xdr:to>
    <xdr:pic>
      <xdr:nvPicPr>
        <xdr:cNvPr id="2" name="Picture 1">
          <a:extLst>
            <a:ext uri="{FF2B5EF4-FFF2-40B4-BE49-F238E27FC236}">
              <a16:creationId xmlns:a16="http://schemas.microsoft.com/office/drawing/2014/main" id="{C4947725-5E16-4579-AAB9-71DA14326388}"/>
            </a:ext>
          </a:extLst>
        </xdr:cNvPr>
        <xdr:cNvPicPr>
          <a:picLocks noChangeAspect="1"/>
        </xdr:cNvPicPr>
      </xdr:nvPicPr>
      <xdr:blipFill>
        <a:blip xmlns:r="http://schemas.openxmlformats.org/officeDocument/2006/relationships" r:embed="rId1"/>
        <a:stretch>
          <a:fillRect/>
        </a:stretch>
      </xdr:blipFill>
      <xdr:spPr>
        <a:xfrm>
          <a:off x="6357657" y="300878"/>
          <a:ext cx="1650067" cy="985863"/>
        </a:xfrm>
        <a:prstGeom prst="rect">
          <a:avLst/>
        </a:prstGeom>
        <a:ln>
          <a:solidFill>
            <a:schemeClr val="accent1"/>
          </a:solidFill>
        </a:ln>
      </xdr:spPr>
    </xdr:pic>
    <xdr:clientData/>
  </xdr:twoCellAnchor>
  <xdr:twoCellAnchor editAs="oneCell">
    <xdr:from>
      <xdr:col>8</xdr:col>
      <xdr:colOff>885265</xdr:colOff>
      <xdr:row>2</xdr:row>
      <xdr:rowOff>78440</xdr:rowOff>
    </xdr:from>
    <xdr:to>
      <xdr:col>9</xdr:col>
      <xdr:colOff>845299</xdr:colOff>
      <xdr:row>7</xdr:row>
      <xdr:rowOff>26880</xdr:rowOff>
    </xdr:to>
    <xdr:pic>
      <xdr:nvPicPr>
        <xdr:cNvPr id="3" name="Picture 2">
          <a:extLst>
            <a:ext uri="{FF2B5EF4-FFF2-40B4-BE49-F238E27FC236}">
              <a16:creationId xmlns:a16="http://schemas.microsoft.com/office/drawing/2014/main" id="{D7715388-C21B-4723-AB96-12C1805DE230}"/>
            </a:ext>
          </a:extLst>
        </xdr:cNvPr>
        <xdr:cNvPicPr>
          <a:picLocks noChangeAspect="1"/>
        </xdr:cNvPicPr>
      </xdr:nvPicPr>
      <xdr:blipFill>
        <a:blip xmlns:r="http://schemas.openxmlformats.org/officeDocument/2006/relationships" r:embed="rId2"/>
        <a:stretch>
          <a:fillRect/>
        </a:stretch>
      </xdr:blipFill>
      <xdr:spPr>
        <a:xfrm>
          <a:off x="11181790" y="278465"/>
          <a:ext cx="1052233" cy="1002992"/>
        </a:xfrm>
        <a:prstGeom prst="rect">
          <a:avLst/>
        </a:prstGeom>
        <a:ln>
          <a:solidFill>
            <a:schemeClr val="accent1"/>
          </a:solidFill>
        </a:ln>
      </xdr:spPr>
    </xdr:pic>
    <xdr:clientData/>
  </xdr:twoCellAnchor>
  <xdr:twoCellAnchor editAs="oneCell">
    <xdr:from>
      <xdr:col>12</xdr:col>
      <xdr:colOff>347382</xdr:colOff>
      <xdr:row>2</xdr:row>
      <xdr:rowOff>100854</xdr:rowOff>
    </xdr:from>
    <xdr:to>
      <xdr:col>14</xdr:col>
      <xdr:colOff>353733</xdr:colOff>
      <xdr:row>6</xdr:row>
      <xdr:rowOff>151789</xdr:rowOff>
    </xdr:to>
    <xdr:pic>
      <xdr:nvPicPr>
        <xdr:cNvPr id="4" name="Picture 3">
          <a:extLst>
            <a:ext uri="{FF2B5EF4-FFF2-40B4-BE49-F238E27FC236}">
              <a16:creationId xmlns:a16="http://schemas.microsoft.com/office/drawing/2014/main" id="{7A8424EC-B8E8-43BB-90F4-B857E4FDB568}"/>
            </a:ext>
          </a:extLst>
        </xdr:cNvPr>
        <xdr:cNvPicPr>
          <a:picLocks noChangeAspect="1"/>
        </xdr:cNvPicPr>
      </xdr:nvPicPr>
      <xdr:blipFill>
        <a:blip xmlns:r="http://schemas.openxmlformats.org/officeDocument/2006/relationships" r:embed="rId3"/>
        <a:stretch>
          <a:fillRect/>
        </a:stretch>
      </xdr:blipFill>
      <xdr:spPr>
        <a:xfrm>
          <a:off x="15473082" y="300879"/>
          <a:ext cx="2305050" cy="901380"/>
        </a:xfrm>
        <a:prstGeom prst="rect">
          <a:avLst/>
        </a:prstGeom>
        <a:ln>
          <a:solidFill>
            <a:schemeClr val="accent1"/>
          </a:solidFill>
        </a:ln>
      </xdr:spPr>
    </xdr:pic>
    <xdr:clientData/>
  </xdr:twoCellAnchor>
  <xdr:twoCellAnchor editAs="oneCell">
    <xdr:from>
      <xdr:col>15</xdr:col>
      <xdr:colOff>635001</xdr:colOff>
      <xdr:row>2</xdr:row>
      <xdr:rowOff>179917</xdr:rowOff>
    </xdr:from>
    <xdr:to>
      <xdr:col>18</xdr:col>
      <xdr:colOff>763437</xdr:colOff>
      <xdr:row>6</xdr:row>
      <xdr:rowOff>144389</xdr:rowOff>
    </xdr:to>
    <xdr:pic>
      <xdr:nvPicPr>
        <xdr:cNvPr id="6" name="Picture 5">
          <a:extLst>
            <a:ext uri="{FF2B5EF4-FFF2-40B4-BE49-F238E27FC236}">
              <a16:creationId xmlns:a16="http://schemas.microsoft.com/office/drawing/2014/main" id="{0B14CD8A-119A-602B-636E-5F28297660F5}"/>
            </a:ext>
          </a:extLst>
        </xdr:cNvPr>
        <xdr:cNvPicPr>
          <a:picLocks noChangeAspect="1"/>
        </xdr:cNvPicPr>
      </xdr:nvPicPr>
      <xdr:blipFill>
        <a:blip xmlns:r="http://schemas.openxmlformats.org/officeDocument/2006/relationships" r:embed="rId4"/>
        <a:stretch>
          <a:fillRect/>
        </a:stretch>
      </xdr:blipFill>
      <xdr:spPr>
        <a:xfrm>
          <a:off x="19663834" y="381000"/>
          <a:ext cx="3356352" cy="814917"/>
        </a:xfrm>
        <a:prstGeom prst="rect">
          <a:avLst/>
        </a:prstGeom>
        <a:ln>
          <a:solidFill>
            <a:schemeClr val="accent1"/>
          </a:solidFill>
        </a:ln>
      </xdr:spPr>
    </xdr:pic>
    <xdr:clientData/>
  </xdr:twoCellAnchor>
  <xdr:twoCellAnchor>
    <xdr:from>
      <xdr:col>1</xdr:col>
      <xdr:colOff>311728</xdr:colOff>
      <xdr:row>5</xdr:row>
      <xdr:rowOff>103909</xdr:rowOff>
    </xdr:from>
    <xdr:to>
      <xdr:col>2</xdr:col>
      <xdr:colOff>3865832</xdr:colOff>
      <xdr:row>11</xdr:row>
      <xdr:rowOff>65727</xdr:rowOff>
    </xdr:to>
    <xdr:sp macro="" textlink="">
      <xdr:nvSpPr>
        <xdr:cNvPr id="5" name="TextBox 4">
          <a:extLst>
            <a:ext uri="{FF2B5EF4-FFF2-40B4-BE49-F238E27FC236}">
              <a16:creationId xmlns:a16="http://schemas.microsoft.com/office/drawing/2014/main" id="{659E798B-1951-4BC3-AA15-01C6E0E24D05}"/>
            </a:ext>
          </a:extLst>
        </xdr:cNvPr>
        <xdr:cNvSpPr txBox="1"/>
      </xdr:nvSpPr>
      <xdr:spPr>
        <a:xfrm>
          <a:off x="952501" y="1229591"/>
          <a:ext cx="4142922" cy="1122136"/>
        </a:xfrm>
        <a:prstGeom prst="rect">
          <a:avLst/>
        </a:prstGeom>
        <a:solidFill>
          <a:schemeClr val="lt1"/>
        </a:solidFill>
        <a:ln w="285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t>ESTIMATED QUANTITES PROVIDED FOR ITEM I.3,</a:t>
          </a:r>
          <a:r>
            <a:rPr lang="en-US" sz="1400" b="1" baseline="0"/>
            <a:t> I.4, IV.1, &amp; V.3 ARE ROUGH ESTIMATES BASED ON VISUAL OBSERVATION MADE AT BUILDING 10. FINAL REPAIR QUANTITIES ARE HIGHLY LIKELY TO CHANGE</a:t>
          </a:r>
          <a:endParaRPr lang="en-US" sz="1400" b="1"/>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mwitter@empireworks.com" TargetMode="External"/><Relationship Id="rId2" Type="http://schemas.openxmlformats.org/officeDocument/2006/relationships/hyperlink" Target="mailto:VasilyS@iecon.us" TargetMode="External"/><Relationship Id="rId1" Type="http://schemas.openxmlformats.org/officeDocument/2006/relationships/hyperlink" Target="mailto:devin@dueall.com"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mwitter@empireworks.com" TargetMode="External"/><Relationship Id="rId7" Type="http://schemas.openxmlformats.org/officeDocument/2006/relationships/drawing" Target="../drawings/drawing2.xml"/><Relationship Id="rId2" Type="http://schemas.openxmlformats.org/officeDocument/2006/relationships/hyperlink" Target="mailto:VasilyS@iecon.us" TargetMode="External"/><Relationship Id="rId1" Type="http://schemas.openxmlformats.org/officeDocument/2006/relationships/hyperlink" Target="mailto:devin@dueall.com" TargetMode="External"/><Relationship Id="rId6" Type="http://schemas.openxmlformats.org/officeDocument/2006/relationships/printerSettings" Target="../printerSettings/printerSettings2.bin"/><Relationship Id="rId5" Type="http://schemas.openxmlformats.org/officeDocument/2006/relationships/hyperlink" Target="mailto:chrisb@eastbrookconstruction.com" TargetMode="External"/><Relationship Id="rId4" Type="http://schemas.openxmlformats.org/officeDocument/2006/relationships/hyperlink" Target="mailto:mwitter@empirework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1CFCE-A1B9-4E15-A3C2-DD5D84313AFB}">
  <dimension ref="B1:S59"/>
  <sheetViews>
    <sheetView tabSelected="1" zoomScaleNormal="100" zoomScaleSheetLayoutView="85" zoomScalePageLayoutView="70" workbookViewId="0">
      <selection activeCell="T14" sqref="T14"/>
    </sheetView>
  </sheetViews>
  <sheetFormatPr defaultRowHeight="14.5" x14ac:dyDescent="0.35"/>
  <cols>
    <col min="1" max="1" width="9.1796875" customWidth="1"/>
    <col min="2" max="2" width="8.453125" style="1" customWidth="1"/>
    <col min="3" max="3" width="59.1796875" customWidth="1"/>
    <col min="4" max="4" width="14" customWidth="1"/>
    <col min="5" max="5" width="16.26953125" customWidth="1"/>
    <col min="6" max="6" width="18.7265625" style="1" customWidth="1"/>
    <col min="7" max="7" width="24" style="1" customWidth="1"/>
    <col min="8" max="8" width="13.81640625" style="1" customWidth="1"/>
    <col min="9" max="9" width="16.26953125" style="1" customWidth="1"/>
    <col min="10" max="10" width="18.26953125" style="1" customWidth="1"/>
    <col min="11" max="11" width="24" style="1" customWidth="1"/>
    <col min="12" max="12" width="13.81640625" style="1" customWidth="1"/>
    <col min="13" max="13" width="16.26953125" style="1" customWidth="1"/>
    <col min="14" max="14" width="18.26953125" style="1" customWidth="1"/>
    <col min="15" max="15" width="24" style="1" customWidth="1"/>
  </cols>
  <sheetData>
    <row r="1" spans="2:17" ht="15" thickBot="1" x14ac:dyDescent="0.4"/>
    <row r="2" spans="2:17" ht="24" thickBot="1" x14ac:dyDescent="0.6">
      <c r="B2" s="206" t="s">
        <v>106</v>
      </c>
      <c r="C2" s="207"/>
      <c r="D2" s="207"/>
      <c r="E2" s="207"/>
      <c r="F2" s="207"/>
      <c r="G2" s="207"/>
      <c r="H2" s="207"/>
      <c r="I2" s="207"/>
      <c r="J2" s="207"/>
      <c r="K2" s="207"/>
      <c r="L2" s="207"/>
      <c r="M2" s="207"/>
      <c r="N2" s="207"/>
      <c r="O2" s="208"/>
    </row>
    <row r="3" spans="2:17" ht="19" x14ac:dyDescent="0.5">
      <c r="B3" s="204" t="s">
        <v>97</v>
      </c>
      <c r="C3" s="205"/>
      <c r="D3" s="2"/>
      <c r="E3" s="2"/>
      <c r="F3" s="2"/>
      <c r="G3" s="4"/>
      <c r="H3" s="3"/>
      <c r="I3" s="2"/>
      <c r="J3" s="2"/>
      <c r="K3" s="4"/>
      <c r="L3" s="3"/>
      <c r="M3" s="2"/>
      <c r="N3" s="2"/>
      <c r="O3" s="4"/>
    </row>
    <row r="4" spans="2:17" ht="15" x14ac:dyDescent="0.4">
      <c r="B4" s="183" t="s">
        <v>98</v>
      </c>
      <c r="C4" s="184" t="s">
        <v>99</v>
      </c>
      <c r="D4" s="2"/>
      <c r="E4" s="2"/>
      <c r="F4" s="2"/>
      <c r="G4" s="4"/>
      <c r="H4" s="3"/>
      <c r="I4" s="2"/>
      <c r="J4" s="2"/>
      <c r="K4" s="4"/>
      <c r="L4" s="3"/>
      <c r="M4" s="2"/>
      <c r="N4" s="2"/>
      <c r="O4" s="4"/>
    </row>
    <row r="5" spans="2:17" ht="15" x14ac:dyDescent="0.4">
      <c r="B5" s="252" t="s">
        <v>98</v>
      </c>
      <c r="C5" s="253" t="s">
        <v>105</v>
      </c>
      <c r="D5" s="2"/>
      <c r="E5" s="2"/>
      <c r="F5" s="2"/>
      <c r="G5" s="4"/>
      <c r="H5" s="3"/>
      <c r="I5" s="2"/>
      <c r="J5" s="2"/>
      <c r="K5" s="4"/>
      <c r="L5" s="3"/>
      <c r="M5" s="2"/>
      <c r="N5" s="2"/>
      <c r="O5" s="4"/>
    </row>
    <row r="6" spans="2:17" x14ac:dyDescent="0.35">
      <c r="B6" s="185"/>
      <c r="C6" s="186"/>
      <c r="D6" s="2"/>
      <c r="E6" s="2"/>
      <c r="F6" s="2"/>
      <c r="G6" s="4"/>
      <c r="H6" s="3"/>
      <c r="I6" s="2"/>
      <c r="J6" s="2"/>
      <c r="K6" s="4"/>
      <c r="L6" s="3"/>
      <c r="M6" s="2"/>
      <c r="N6" s="2"/>
      <c r="O6" s="4"/>
    </row>
    <row r="7" spans="2:17" x14ac:dyDescent="0.35">
      <c r="B7" s="185"/>
      <c r="C7" s="4"/>
      <c r="D7" s="2"/>
      <c r="E7" s="2"/>
      <c r="F7" s="2"/>
      <c r="G7" s="4"/>
      <c r="H7" s="3"/>
      <c r="I7" s="2"/>
      <c r="J7" s="2"/>
      <c r="K7" s="4"/>
      <c r="L7" s="3"/>
      <c r="M7" s="2"/>
      <c r="N7" s="2"/>
      <c r="O7" s="4"/>
    </row>
    <row r="8" spans="2:17" x14ac:dyDescent="0.35">
      <c r="B8" s="185"/>
      <c r="C8" s="4"/>
      <c r="D8" s="2"/>
      <c r="E8" s="2"/>
      <c r="F8" s="2"/>
      <c r="G8" s="4"/>
      <c r="H8" s="3"/>
      <c r="I8" s="2"/>
      <c r="J8" s="2"/>
      <c r="K8" s="4"/>
      <c r="L8" s="3"/>
      <c r="M8" s="2"/>
      <c r="N8" s="2"/>
      <c r="O8" s="4"/>
    </row>
    <row r="9" spans="2:17" ht="15.5" customHeight="1" x14ac:dyDescent="0.35">
      <c r="B9" s="191"/>
      <c r="C9" s="192"/>
      <c r="D9" s="220" t="s">
        <v>60</v>
      </c>
      <c r="E9" s="220"/>
      <c r="F9" s="220"/>
      <c r="G9" s="221"/>
      <c r="H9" s="214" t="s">
        <v>64</v>
      </c>
      <c r="I9" s="215"/>
      <c r="J9" s="215"/>
      <c r="K9" s="216"/>
      <c r="L9" s="214" t="s">
        <v>65</v>
      </c>
      <c r="M9" s="215"/>
      <c r="N9" s="215"/>
      <c r="O9" s="216"/>
    </row>
    <row r="10" spans="2:17" ht="14.5" customHeight="1" x14ac:dyDescent="0.35">
      <c r="B10" s="193"/>
      <c r="C10" s="192"/>
      <c r="D10" s="227" t="s">
        <v>70</v>
      </c>
      <c r="E10" s="218"/>
      <c r="F10" s="218"/>
      <c r="G10" s="219"/>
      <c r="H10" s="217" t="s">
        <v>63</v>
      </c>
      <c r="I10" s="218"/>
      <c r="J10" s="218"/>
      <c r="K10" s="219"/>
      <c r="L10" s="217" t="s">
        <v>66</v>
      </c>
      <c r="M10" s="218"/>
      <c r="N10" s="218"/>
      <c r="O10" s="219"/>
    </row>
    <row r="11" spans="2:17" ht="15" customHeight="1" x14ac:dyDescent="0.35">
      <c r="B11" s="193"/>
      <c r="C11" s="192"/>
      <c r="D11" s="215" t="s">
        <v>71</v>
      </c>
      <c r="E11" s="215"/>
      <c r="F11" s="215"/>
      <c r="G11" s="216"/>
      <c r="H11" s="214" t="s">
        <v>62</v>
      </c>
      <c r="I11" s="220"/>
      <c r="J11" s="220"/>
      <c r="K11" s="221"/>
      <c r="L11" s="214" t="s">
        <v>67</v>
      </c>
      <c r="M11" s="220"/>
      <c r="N11" s="220"/>
      <c r="O11" s="221"/>
    </row>
    <row r="12" spans="2:17" ht="15.75" customHeight="1" thickBot="1" x14ac:dyDescent="0.4">
      <c r="B12" s="194"/>
      <c r="C12" s="195"/>
      <c r="D12" s="223" t="s">
        <v>61</v>
      </c>
      <c r="E12" s="223"/>
      <c r="F12" s="223"/>
      <c r="G12" s="224"/>
      <c r="H12" s="222" t="s">
        <v>68</v>
      </c>
      <c r="I12" s="223"/>
      <c r="J12" s="223"/>
      <c r="K12" s="224"/>
      <c r="L12" s="222" t="s">
        <v>69</v>
      </c>
      <c r="M12" s="223"/>
      <c r="N12" s="223"/>
      <c r="O12" s="224"/>
    </row>
    <row r="13" spans="2:17" ht="25.5" customHeight="1" x14ac:dyDescent="0.35">
      <c r="B13" s="190" t="s">
        <v>22</v>
      </c>
      <c r="C13" s="182" t="s">
        <v>11</v>
      </c>
      <c r="D13" s="182" t="s">
        <v>6</v>
      </c>
      <c r="E13" s="182" t="s">
        <v>1</v>
      </c>
      <c r="F13" s="182" t="s">
        <v>9</v>
      </c>
      <c r="G13" s="182" t="s">
        <v>20</v>
      </c>
      <c r="H13" s="182" t="s">
        <v>6</v>
      </c>
      <c r="I13" s="182" t="s">
        <v>1</v>
      </c>
      <c r="J13" s="182" t="s">
        <v>9</v>
      </c>
      <c r="K13" s="182" t="s">
        <v>20</v>
      </c>
      <c r="L13" s="182" t="s">
        <v>6</v>
      </c>
      <c r="M13" s="182" t="s">
        <v>1</v>
      </c>
      <c r="N13" s="182" t="s">
        <v>9</v>
      </c>
      <c r="O13" s="187" t="s">
        <v>20</v>
      </c>
    </row>
    <row r="14" spans="2:17" ht="16" customHeight="1" x14ac:dyDescent="0.35">
      <c r="B14" s="35" t="s">
        <v>25</v>
      </c>
      <c r="C14" s="39" t="s">
        <v>27</v>
      </c>
      <c r="D14" s="36"/>
      <c r="E14" s="34"/>
      <c r="F14" s="34"/>
      <c r="G14" s="33"/>
      <c r="H14" s="35"/>
      <c r="I14" s="34"/>
      <c r="J14" s="34"/>
      <c r="K14" s="33"/>
      <c r="L14" s="35"/>
      <c r="M14" s="34"/>
      <c r="N14" s="34"/>
      <c r="O14" s="33"/>
    </row>
    <row r="15" spans="2:17" ht="17.5" customHeight="1" x14ac:dyDescent="0.35">
      <c r="B15" s="5">
        <v>1</v>
      </c>
      <c r="C15" s="40" t="s">
        <v>37</v>
      </c>
      <c r="D15" s="37" t="s">
        <v>16</v>
      </c>
      <c r="E15" s="6" t="s">
        <v>17</v>
      </c>
      <c r="F15" s="7">
        <v>4.0999999999999996</v>
      </c>
      <c r="G15" s="12">
        <v>0</v>
      </c>
      <c r="H15" s="6" t="s">
        <v>16</v>
      </c>
      <c r="I15" s="6" t="s">
        <v>17</v>
      </c>
      <c r="J15" s="7">
        <v>8</v>
      </c>
      <c r="K15" s="12">
        <v>0</v>
      </c>
      <c r="L15" s="6" t="s">
        <v>16</v>
      </c>
      <c r="M15" s="6" t="s">
        <v>17</v>
      </c>
      <c r="N15" s="7">
        <v>5.8</v>
      </c>
      <c r="O15" s="12">
        <v>0</v>
      </c>
      <c r="Q15" s="62"/>
    </row>
    <row r="16" spans="2:17" ht="17.5" customHeight="1" x14ac:dyDescent="0.35">
      <c r="B16" s="9">
        <v>2</v>
      </c>
      <c r="C16" s="41" t="s">
        <v>24</v>
      </c>
      <c r="D16" s="38" t="s">
        <v>16</v>
      </c>
      <c r="E16" s="10" t="s">
        <v>8</v>
      </c>
      <c r="F16" s="11">
        <v>7.49</v>
      </c>
      <c r="G16" s="12">
        <v>0</v>
      </c>
      <c r="H16" s="10" t="s">
        <v>16</v>
      </c>
      <c r="I16" s="10" t="s">
        <v>8</v>
      </c>
      <c r="J16" s="11">
        <v>15</v>
      </c>
      <c r="K16" s="12">
        <v>0</v>
      </c>
      <c r="L16" s="10" t="s">
        <v>16</v>
      </c>
      <c r="M16" s="10" t="s">
        <v>8</v>
      </c>
      <c r="N16" s="11">
        <v>15.97</v>
      </c>
      <c r="O16" s="12">
        <v>0</v>
      </c>
      <c r="Q16" s="62"/>
    </row>
    <row r="17" spans="2:17" ht="17.5" customHeight="1" x14ac:dyDescent="0.35">
      <c r="B17" s="5">
        <v>3</v>
      </c>
      <c r="C17" s="41" t="s">
        <v>32</v>
      </c>
      <c r="D17" s="246">
        <v>400</v>
      </c>
      <c r="E17" s="10" t="s">
        <v>7</v>
      </c>
      <c r="F17" s="11">
        <v>5.28</v>
      </c>
      <c r="G17" s="8">
        <v>2112</v>
      </c>
      <c r="H17" s="247">
        <v>400</v>
      </c>
      <c r="I17" s="10" t="s">
        <v>7</v>
      </c>
      <c r="J17" s="11">
        <v>12</v>
      </c>
      <c r="K17" s="8">
        <v>4800</v>
      </c>
      <c r="L17" s="247">
        <v>400</v>
      </c>
      <c r="M17" s="10" t="s">
        <v>7</v>
      </c>
      <c r="N17" s="11">
        <v>7.74</v>
      </c>
      <c r="O17" s="8">
        <v>3096</v>
      </c>
      <c r="Q17" s="62"/>
    </row>
    <row r="18" spans="2:17" ht="17.5" customHeight="1" x14ac:dyDescent="0.35">
      <c r="B18" s="9">
        <v>4</v>
      </c>
      <c r="C18" s="41" t="s">
        <v>33</v>
      </c>
      <c r="D18" s="246">
        <v>225</v>
      </c>
      <c r="E18" s="10" t="s">
        <v>8</v>
      </c>
      <c r="F18" s="11">
        <v>21.01</v>
      </c>
      <c r="G18" s="8">
        <v>4727.25</v>
      </c>
      <c r="H18" s="247">
        <v>225</v>
      </c>
      <c r="I18" s="10" t="s">
        <v>8</v>
      </c>
      <c r="J18" s="11">
        <v>15</v>
      </c>
      <c r="K18" s="8">
        <v>3375</v>
      </c>
      <c r="L18" s="247">
        <v>225</v>
      </c>
      <c r="M18" s="10" t="s">
        <v>8</v>
      </c>
      <c r="N18" s="11">
        <v>255.02</v>
      </c>
      <c r="O18" s="8">
        <v>57379.5</v>
      </c>
      <c r="Q18" s="62"/>
    </row>
    <row r="19" spans="2:17" ht="16" customHeight="1" x14ac:dyDescent="0.35">
      <c r="B19" s="35" t="s">
        <v>26</v>
      </c>
      <c r="C19" s="39" t="s">
        <v>45</v>
      </c>
      <c r="D19" s="36"/>
      <c r="E19" s="34"/>
      <c r="F19" s="34"/>
      <c r="G19" s="33"/>
      <c r="H19" s="35"/>
      <c r="I19" s="34"/>
      <c r="J19" s="34"/>
      <c r="K19" s="33"/>
      <c r="L19" s="35"/>
      <c r="M19" s="34"/>
      <c r="N19" s="34"/>
      <c r="O19" s="33"/>
      <c r="Q19" s="62"/>
    </row>
    <row r="20" spans="2:17" ht="52" x14ac:dyDescent="0.35">
      <c r="B20" s="9">
        <v>1</v>
      </c>
      <c r="C20" s="40" t="s">
        <v>47</v>
      </c>
      <c r="D20" s="37">
        <v>2960</v>
      </c>
      <c r="E20" s="6" t="s">
        <v>7</v>
      </c>
      <c r="F20" s="7">
        <v>9.75</v>
      </c>
      <c r="G20" s="8">
        <v>28860</v>
      </c>
      <c r="H20" s="6">
        <v>2960</v>
      </c>
      <c r="I20" s="6" t="s">
        <v>7</v>
      </c>
      <c r="J20" s="87">
        <v>25.062949324324325</v>
      </c>
      <c r="K20" s="8">
        <v>74186.33</v>
      </c>
      <c r="L20" s="6">
        <v>2960</v>
      </c>
      <c r="M20" s="6" t="s">
        <v>7</v>
      </c>
      <c r="N20" s="87">
        <v>23.657530405405403</v>
      </c>
      <c r="O20" s="8">
        <v>70026.289999999994</v>
      </c>
      <c r="Q20" s="62"/>
    </row>
    <row r="21" spans="2:17" ht="43.5" customHeight="1" x14ac:dyDescent="0.35">
      <c r="B21" s="9">
        <v>2</v>
      </c>
      <c r="C21" s="41" t="s">
        <v>48</v>
      </c>
      <c r="D21" s="38">
        <v>2960</v>
      </c>
      <c r="E21" s="10" t="s">
        <v>7</v>
      </c>
      <c r="F21" s="11">
        <v>4.12</v>
      </c>
      <c r="G21" s="8">
        <v>12195.2</v>
      </c>
      <c r="H21" s="10">
        <v>2960</v>
      </c>
      <c r="I21" s="10" t="s">
        <v>7</v>
      </c>
      <c r="J21" s="88">
        <v>24.084047297297296</v>
      </c>
      <c r="K21" s="8">
        <v>71288.78</v>
      </c>
      <c r="L21" s="10">
        <v>2960</v>
      </c>
      <c r="M21" s="10" t="s">
        <v>7</v>
      </c>
      <c r="N21" s="88">
        <v>12.782351351351352</v>
      </c>
      <c r="O21" s="8">
        <v>37835.760000000002</v>
      </c>
      <c r="Q21" s="62"/>
    </row>
    <row r="22" spans="2:17" ht="65" x14ac:dyDescent="0.35">
      <c r="B22" s="9">
        <v>3</v>
      </c>
      <c r="C22" s="41" t="s">
        <v>49</v>
      </c>
      <c r="D22" s="38">
        <v>2960</v>
      </c>
      <c r="E22" s="10" t="s">
        <v>7</v>
      </c>
      <c r="F22" s="11">
        <v>31.59</v>
      </c>
      <c r="G22" s="8">
        <v>93506.4</v>
      </c>
      <c r="H22" s="10">
        <v>2960</v>
      </c>
      <c r="I22" s="10" t="s">
        <v>7</v>
      </c>
      <c r="J22" s="88">
        <v>40.913570945945942</v>
      </c>
      <c r="K22" s="8">
        <v>121104.16999999998</v>
      </c>
      <c r="L22" s="10">
        <v>2960</v>
      </c>
      <c r="M22" s="10" t="s">
        <v>7</v>
      </c>
      <c r="N22" s="88">
        <v>33.381847972972977</v>
      </c>
      <c r="O22" s="8">
        <v>98810.270000000019</v>
      </c>
      <c r="Q22" s="62"/>
    </row>
    <row r="23" spans="2:17" ht="26" x14ac:dyDescent="0.35">
      <c r="B23" s="9">
        <v>4</v>
      </c>
      <c r="C23" s="41" t="s">
        <v>34</v>
      </c>
      <c r="D23" s="38">
        <v>2960</v>
      </c>
      <c r="E23" s="10" t="s">
        <v>7</v>
      </c>
      <c r="F23" s="11">
        <v>18.690000000000001</v>
      </c>
      <c r="G23" s="8">
        <v>55322.400000000001</v>
      </c>
      <c r="H23" s="10">
        <v>2960</v>
      </c>
      <c r="I23" s="10" t="s">
        <v>7</v>
      </c>
      <c r="J23" s="88">
        <v>30.910969594594594</v>
      </c>
      <c r="K23" s="8">
        <v>91496.47</v>
      </c>
      <c r="L23" s="10">
        <v>2960</v>
      </c>
      <c r="M23" s="10" t="s">
        <v>7</v>
      </c>
      <c r="N23" s="88">
        <v>23.183672297297296</v>
      </c>
      <c r="O23" s="8">
        <v>68623.67</v>
      </c>
      <c r="Q23" s="62"/>
    </row>
    <row r="24" spans="2:17" ht="16" customHeight="1" x14ac:dyDescent="0.35">
      <c r="B24" s="35" t="s">
        <v>28</v>
      </c>
      <c r="C24" s="39" t="s">
        <v>39</v>
      </c>
      <c r="D24" s="36"/>
      <c r="E24" s="34"/>
      <c r="F24" s="34"/>
      <c r="G24" s="33"/>
      <c r="H24" s="35"/>
      <c r="I24" s="34"/>
      <c r="J24" s="34"/>
      <c r="K24" s="33"/>
      <c r="L24" s="35"/>
      <c r="M24" s="34"/>
      <c r="N24" s="34"/>
      <c r="O24" s="33"/>
      <c r="Q24" s="62"/>
    </row>
    <row r="25" spans="2:17" ht="26" x14ac:dyDescent="0.35">
      <c r="B25" s="9">
        <v>1</v>
      </c>
      <c r="C25" s="40" t="s">
        <v>42</v>
      </c>
      <c r="D25" s="37">
        <v>3025</v>
      </c>
      <c r="E25" s="6" t="s">
        <v>36</v>
      </c>
      <c r="F25" s="7">
        <v>3.06</v>
      </c>
      <c r="G25" s="8">
        <v>9256.5</v>
      </c>
      <c r="H25" s="6">
        <v>3025</v>
      </c>
      <c r="I25" s="6" t="s">
        <v>36</v>
      </c>
      <c r="J25" s="87">
        <v>3.3417256198347105</v>
      </c>
      <c r="K25" s="44">
        <v>10108.719999999999</v>
      </c>
      <c r="L25" s="6">
        <v>3025</v>
      </c>
      <c r="M25" s="6" t="s">
        <v>36</v>
      </c>
      <c r="N25" s="87">
        <v>6.520168595041322</v>
      </c>
      <c r="O25" s="44">
        <v>19723.509999999998</v>
      </c>
      <c r="Q25" s="62"/>
    </row>
    <row r="26" spans="2:17" ht="26" x14ac:dyDescent="0.35">
      <c r="B26" s="16">
        <v>2</v>
      </c>
      <c r="C26" s="40" t="s">
        <v>40</v>
      </c>
      <c r="D26" s="37">
        <v>3025</v>
      </c>
      <c r="E26" s="6" t="s">
        <v>7</v>
      </c>
      <c r="F26" s="7">
        <v>14.12</v>
      </c>
      <c r="G26" s="8">
        <v>42713</v>
      </c>
      <c r="H26" s="6">
        <v>3025</v>
      </c>
      <c r="I26" s="6" t="s">
        <v>7</v>
      </c>
      <c r="J26" s="87">
        <v>33.417266115702475</v>
      </c>
      <c r="K26" s="44">
        <v>101087.22999999998</v>
      </c>
      <c r="L26" s="6">
        <v>3025</v>
      </c>
      <c r="M26" s="6" t="s">
        <v>7</v>
      </c>
      <c r="N26" s="87">
        <v>23.90792396694215</v>
      </c>
      <c r="O26" s="44">
        <v>72321.47</v>
      </c>
      <c r="Q26" s="62"/>
    </row>
    <row r="27" spans="2:17" ht="16" customHeight="1" x14ac:dyDescent="0.35">
      <c r="B27" s="35" t="s">
        <v>41</v>
      </c>
      <c r="C27" s="39" t="s">
        <v>30</v>
      </c>
      <c r="D27" s="36"/>
      <c r="E27" s="34"/>
      <c r="F27" s="34"/>
      <c r="G27" s="33"/>
      <c r="H27" s="35"/>
      <c r="I27" s="34"/>
      <c r="J27" s="34"/>
      <c r="K27" s="33"/>
      <c r="L27" s="35"/>
      <c r="M27" s="34"/>
      <c r="N27" s="34"/>
      <c r="O27" s="33"/>
      <c r="Q27" s="62"/>
    </row>
    <row r="28" spans="2:17" ht="52" x14ac:dyDescent="0.35">
      <c r="B28" s="9">
        <v>1</v>
      </c>
      <c r="C28" s="40" t="s">
        <v>50</v>
      </c>
      <c r="D28" s="248">
        <v>1450</v>
      </c>
      <c r="E28" s="6" t="s">
        <v>36</v>
      </c>
      <c r="F28" s="7">
        <v>17.18</v>
      </c>
      <c r="G28" s="8">
        <v>24911</v>
      </c>
      <c r="H28" s="249">
        <v>1450</v>
      </c>
      <c r="I28" s="6" t="s">
        <v>36</v>
      </c>
      <c r="J28" s="7">
        <v>30</v>
      </c>
      <c r="K28" s="8">
        <v>43500</v>
      </c>
      <c r="L28" s="249">
        <v>1450</v>
      </c>
      <c r="M28" s="6" t="s">
        <v>36</v>
      </c>
      <c r="N28" s="11">
        <v>24.63</v>
      </c>
      <c r="O28" s="8">
        <v>35713.5</v>
      </c>
      <c r="Q28" s="62"/>
    </row>
    <row r="29" spans="2:17" ht="26" x14ac:dyDescent="0.35">
      <c r="B29" s="9">
        <v>2</v>
      </c>
      <c r="C29" s="40" t="s">
        <v>31</v>
      </c>
      <c r="D29" s="37" t="s">
        <v>16</v>
      </c>
      <c r="E29" s="6" t="s">
        <v>35</v>
      </c>
      <c r="F29" s="7">
        <v>17.68</v>
      </c>
      <c r="G29" s="12">
        <v>0</v>
      </c>
      <c r="H29" s="6" t="s">
        <v>16</v>
      </c>
      <c r="I29" s="6" t="s">
        <v>35</v>
      </c>
      <c r="J29" s="7">
        <v>24</v>
      </c>
      <c r="K29" s="12">
        <v>0</v>
      </c>
      <c r="L29" s="6" t="s">
        <v>16</v>
      </c>
      <c r="M29" s="6" t="s">
        <v>35</v>
      </c>
      <c r="N29" s="7">
        <v>9.06</v>
      </c>
      <c r="O29" s="53">
        <v>0</v>
      </c>
      <c r="Q29" s="62"/>
    </row>
    <row r="30" spans="2:17" ht="26" x14ac:dyDescent="0.35">
      <c r="B30" s="9">
        <v>3</v>
      </c>
      <c r="C30" s="40" t="s">
        <v>44</v>
      </c>
      <c r="D30" s="37" t="s">
        <v>16</v>
      </c>
      <c r="E30" s="6" t="s">
        <v>8</v>
      </c>
      <c r="F30" s="7">
        <v>4.8099999999999996</v>
      </c>
      <c r="G30" s="12">
        <v>0</v>
      </c>
      <c r="H30" s="6" t="s">
        <v>16</v>
      </c>
      <c r="I30" s="6" t="s">
        <v>8</v>
      </c>
      <c r="J30" s="7">
        <v>3</v>
      </c>
      <c r="K30" s="12">
        <v>0</v>
      </c>
      <c r="L30" s="6" t="s">
        <v>16</v>
      </c>
      <c r="M30" s="6" t="s">
        <v>8</v>
      </c>
      <c r="N30" s="7">
        <v>4.3499999999999996</v>
      </c>
      <c r="O30" s="53">
        <v>0</v>
      </c>
      <c r="Q30" s="62"/>
    </row>
    <row r="31" spans="2:17" ht="16" customHeight="1" x14ac:dyDescent="0.35">
      <c r="B31" s="35" t="s">
        <v>53</v>
      </c>
      <c r="C31" s="39" t="s">
        <v>29</v>
      </c>
      <c r="D31" s="36"/>
      <c r="E31" s="34"/>
      <c r="F31" s="34"/>
      <c r="G31" s="33"/>
      <c r="H31" s="35"/>
      <c r="I31" s="34"/>
      <c r="J31" s="34"/>
      <c r="K31" s="33"/>
      <c r="L31" s="35"/>
      <c r="M31" s="34"/>
      <c r="N31" s="34"/>
      <c r="O31" s="33"/>
      <c r="Q31" s="62"/>
    </row>
    <row r="32" spans="2:17" ht="39" x14ac:dyDescent="0.35">
      <c r="B32" s="9">
        <v>1</v>
      </c>
      <c r="C32" s="42" t="s">
        <v>51</v>
      </c>
      <c r="D32" s="32" t="s">
        <v>16</v>
      </c>
      <c r="E32" s="14" t="s">
        <v>7</v>
      </c>
      <c r="F32" s="175">
        <v>1.71</v>
      </c>
      <c r="G32" s="12">
        <v>0</v>
      </c>
      <c r="H32" s="6" t="s">
        <v>16</v>
      </c>
      <c r="I32" s="14" t="s">
        <v>7</v>
      </c>
      <c r="J32" s="87">
        <v>4.1771578947368422</v>
      </c>
      <c r="K32" s="12">
        <v>0</v>
      </c>
      <c r="L32" s="6" t="s">
        <v>16</v>
      </c>
      <c r="M32" s="6" t="s">
        <v>7</v>
      </c>
      <c r="N32" s="7">
        <v>2.4700000000000002</v>
      </c>
      <c r="O32" s="12">
        <v>0</v>
      </c>
      <c r="Q32" s="62"/>
    </row>
    <row r="33" spans="2:17" ht="52" x14ac:dyDescent="0.35">
      <c r="B33" s="16">
        <v>2</v>
      </c>
      <c r="C33" s="57" t="s">
        <v>52</v>
      </c>
      <c r="D33" s="58" t="s">
        <v>16</v>
      </c>
      <c r="E33" s="59" t="s">
        <v>35</v>
      </c>
      <c r="F33" s="60">
        <v>5.43</v>
      </c>
      <c r="G33" s="12">
        <v>0</v>
      </c>
      <c r="H33" s="59" t="s">
        <v>16</v>
      </c>
      <c r="I33" s="59" t="s">
        <v>35</v>
      </c>
      <c r="J33" s="60">
        <v>3</v>
      </c>
      <c r="K33" s="12">
        <v>0</v>
      </c>
      <c r="L33" s="176" t="s">
        <v>16</v>
      </c>
      <c r="M33" s="176" t="s">
        <v>18</v>
      </c>
      <c r="N33" s="45">
        <v>0</v>
      </c>
      <c r="O33" s="12">
        <v>0</v>
      </c>
      <c r="Q33" s="62"/>
    </row>
    <row r="34" spans="2:17" ht="39" x14ac:dyDescent="0.35">
      <c r="B34" s="16">
        <v>3</v>
      </c>
      <c r="C34" s="43" t="s">
        <v>43</v>
      </c>
      <c r="D34" s="250">
        <v>80</v>
      </c>
      <c r="E34" s="17" t="s">
        <v>35</v>
      </c>
      <c r="F34" s="18">
        <v>6.79</v>
      </c>
      <c r="G34" s="8">
        <v>543.20000000000005</v>
      </c>
      <c r="H34" s="251">
        <v>80</v>
      </c>
      <c r="I34" s="17" t="s">
        <v>35</v>
      </c>
      <c r="J34" s="18">
        <v>3</v>
      </c>
      <c r="K34" s="8">
        <v>240</v>
      </c>
      <c r="L34" s="251">
        <v>80</v>
      </c>
      <c r="M34" s="13" t="s">
        <v>35</v>
      </c>
      <c r="N34" s="7">
        <v>5.8</v>
      </c>
      <c r="O34" s="8">
        <v>464</v>
      </c>
      <c r="Q34" s="62"/>
    </row>
    <row r="35" spans="2:17" ht="16" customHeight="1" x14ac:dyDescent="0.35">
      <c r="B35" s="35" t="s">
        <v>54</v>
      </c>
      <c r="C35" s="39" t="s">
        <v>101</v>
      </c>
      <c r="D35" s="55"/>
      <c r="E35" s="34"/>
      <c r="F35" s="34"/>
      <c r="G35" s="33"/>
      <c r="H35" s="35"/>
      <c r="I35" s="34"/>
      <c r="J35" s="34"/>
      <c r="K35" s="33"/>
      <c r="L35" s="35"/>
      <c r="M35" s="34"/>
      <c r="N35" s="34"/>
      <c r="O35" s="33"/>
      <c r="Q35" s="62"/>
    </row>
    <row r="36" spans="2:17" ht="39" x14ac:dyDescent="0.35">
      <c r="B36" s="9">
        <v>1</v>
      </c>
      <c r="C36" s="30" t="s">
        <v>55</v>
      </c>
      <c r="D36" s="32">
        <v>1</v>
      </c>
      <c r="E36" s="14" t="s">
        <v>3</v>
      </c>
      <c r="F36" s="45">
        <v>36492.61</v>
      </c>
      <c r="G36" s="8">
        <v>36492.61</v>
      </c>
      <c r="H36" s="14">
        <v>1</v>
      </c>
      <c r="I36" s="14" t="s">
        <v>3</v>
      </c>
      <c r="J36" s="45">
        <v>53784</v>
      </c>
      <c r="K36" s="15">
        <v>53784</v>
      </c>
      <c r="L36" s="14">
        <v>1</v>
      </c>
      <c r="M36" s="14" t="s">
        <v>3</v>
      </c>
      <c r="N36" s="45">
        <v>141813.97</v>
      </c>
      <c r="O36" s="15">
        <v>141813.97</v>
      </c>
      <c r="Q36" s="62"/>
    </row>
    <row r="37" spans="2:17" x14ac:dyDescent="0.35">
      <c r="B37" s="9">
        <v>2</v>
      </c>
      <c r="C37" s="30" t="s">
        <v>38</v>
      </c>
      <c r="D37" s="32">
        <v>1</v>
      </c>
      <c r="E37" s="14" t="s">
        <v>3</v>
      </c>
      <c r="F37" s="45">
        <v>20000</v>
      </c>
      <c r="G37" s="8">
        <v>20000</v>
      </c>
      <c r="H37" s="14">
        <v>1</v>
      </c>
      <c r="I37" s="14" t="s">
        <v>3</v>
      </c>
      <c r="J37" s="45">
        <v>0</v>
      </c>
      <c r="K37" s="8" t="s">
        <v>56</v>
      </c>
      <c r="L37" s="14">
        <v>1</v>
      </c>
      <c r="M37" s="14" t="s">
        <v>3</v>
      </c>
      <c r="N37" s="45">
        <v>2535.71</v>
      </c>
      <c r="O37" s="15">
        <v>2535.71</v>
      </c>
      <c r="Q37" s="62"/>
    </row>
    <row r="38" spans="2:17" x14ac:dyDescent="0.35">
      <c r="B38" s="9">
        <v>3</v>
      </c>
      <c r="C38" s="30" t="s">
        <v>19</v>
      </c>
      <c r="D38" s="32">
        <v>1</v>
      </c>
      <c r="E38" s="14" t="s">
        <v>3</v>
      </c>
      <c r="F38" s="45">
        <v>6388.6</v>
      </c>
      <c r="G38" s="8">
        <v>6388.6</v>
      </c>
      <c r="H38" s="14">
        <v>1</v>
      </c>
      <c r="I38" s="14" t="s">
        <v>3</v>
      </c>
      <c r="J38" s="45">
        <v>0</v>
      </c>
      <c r="K38" s="8" t="s">
        <v>56</v>
      </c>
      <c r="L38" s="14">
        <v>1</v>
      </c>
      <c r="M38" s="14" t="s">
        <v>3</v>
      </c>
      <c r="N38" s="45">
        <v>14489.8</v>
      </c>
      <c r="O38" s="15">
        <v>14489.8</v>
      </c>
      <c r="Q38" s="62"/>
    </row>
    <row r="39" spans="2:17" x14ac:dyDescent="0.35">
      <c r="B39" s="9">
        <v>4</v>
      </c>
      <c r="C39" s="30" t="s">
        <v>4</v>
      </c>
      <c r="D39" s="32">
        <v>1</v>
      </c>
      <c r="E39" s="14" t="s">
        <v>3</v>
      </c>
      <c r="F39" s="45">
        <v>2141.5700000000002</v>
      </c>
      <c r="G39" s="8">
        <v>2141.5700000000002</v>
      </c>
      <c r="H39" s="14">
        <v>1</v>
      </c>
      <c r="I39" s="14" t="s">
        <v>3</v>
      </c>
      <c r="J39" s="45">
        <v>3054</v>
      </c>
      <c r="K39" s="8">
        <v>3054</v>
      </c>
      <c r="L39" s="14">
        <v>1</v>
      </c>
      <c r="M39" s="14" t="s">
        <v>3</v>
      </c>
      <c r="N39" s="45">
        <v>0</v>
      </c>
      <c r="O39" s="12">
        <v>0</v>
      </c>
      <c r="Q39" s="62"/>
    </row>
    <row r="40" spans="2:17" x14ac:dyDescent="0.35">
      <c r="B40" s="9">
        <v>5</v>
      </c>
      <c r="C40" s="30" t="s">
        <v>5</v>
      </c>
      <c r="D40" s="32">
        <v>1</v>
      </c>
      <c r="E40" s="14" t="s">
        <v>3</v>
      </c>
      <c r="F40" s="45">
        <v>0</v>
      </c>
      <c r="G40" s="8">
        <v>0</v>
      </c>
      <c r="H40" s="14">
        <v>1</v>
      </c>
      <c r="I40" s="14" t="s">
        <v>3</v>
      </c>
      <c r="J40" s="45">
        <v>0</v>
      </c>
      <c r="K40" s="8">
        <v>0</v>
      </c>
      <c r="L40" s="14">
        <v>1</v>
      </c>
      <c r="M40" s="14" t="s">
        <v>3</v>
      </c>
      <c r="N40" s="45">
        <v>11954.08</v>
      </c>
      <c r="O40" s="15">
        <v>11954.08</v>
      </c>
      <c r="Q40" s="62"/>
    </row>
    <row r="41" spans="2:17" ht="26.25" customHeight="1" thickBot="1" x14ac:dyDescent="0.4">
      <c r="B41" s="225" t="s">
        <v>46</v>
      </c>
      <c r="C41" s="226"/>
      <c r="D41" s="209" t="s">
        <v>21</v>
      </c>
      <c r="E41" s="210"/>
      <c r="F41" s="211"/>
      <c r="G41" s="196">
        <f>SUM(G15:G40)</f>
        <v>339169.73</v>
      </c>
      <c r="H41" s="209" t="s">
        <v>21</v>
      </c>
      <c r="I41" s="210"/>
      <c r="J41" s="211"/>
      <c r="K41" s="196">
        <f>SUM(K15:K40)</f>
        <v>578024.69999999995</v>
      </c>
      <c r="L41" s="209" t="s">
        <v>21</v>
      </c>
      <c r="M41" s="210"/>
      <c r="N41" s="211"/>
      <c r="O41" s="61">
        <f>SUM(O14:O40)</f>
        <v>634787.52999999991</v>
      </c>
    </row>
    <row r="42" spans="2:17" ht="10" customHeight="1" thickBot="1" x14ac:dyDescent="0.4">
      <c r="B42" s="212" t="s">
        <v>102</v>
      </c>
      <c r="C42" s="212"/>
      <c r="D42" s="213" t="s">
        <v>59</v>
      </c>
      <c r="E42" s="213"/>
      <c r="F42" s="213"/>
      <c r="G42" s="213"/>
      <c r="H42" s="213" t="s">
        <v>57</v>
      </c>
      <c r="I42" s="213"/>
      <c r="J42" s="213"/>
      <c r="K42" s="213"/>
      <c r="L42" s="213" t="s">
        <v>58</v>
      </c>
      <c r="M42" s="213"/>
      <c r="N42" s="213"/>
      <c r="O42" s="213"/>
    </row>
    <row r="43" spans="2:17" ht="10" customHeight="1" thickBot="1" x14ac:dyDescent="0.4">
      <c r="B43" s="212"/>
      <c r="C43" s="212"/>
      <c r="D43" s="213"/>
      <c r="E43" s="213"/>
      <c r="F43" s="213"/>
      <c r="G43" s="213"/>
      <c r="H43" s="213"/>
      <c r="I43" s="213"/>
      <c r="J43" s="213"/>
      <c r="K43" s="213"/>
      <c r="L43" s="213"/>
      <c r="M43" s="213"/>
      <c r="N43" s="213"/>
      <c r="O43" s="213"/>
    </row>
    <row r="44" spans="2:17" ht="10" customHeight="1" thickBot="1" x14ac:dyDescent="0.4">
      <c r="B44" s="212"/>
      <c r="C44" s="212"/>
      <c r="D44" s="213"/>
      <c r="E44" s="213"/>
      <c r="F44" s="213"/>
      <c r="G44" s="213"/>
      <c r="H44" s="213"/>
      <c r="I44" s="213"/>
      <c r="J44" s="213"/>
      <c r="K44" s="213"/>
      <c r="L44" s="213"/>
      <c r="M44" s="213"/>
      <c r="N44" s="213"/>
      <c r="O44" s="213"/>
    </row>
    <row r="45" spans="2:17" ht="10" customHeight="1" thickBot="1" x14ac:dyDescent="0.4">
      <c r="B45" s="212"/>
      <c r="C45" s="212"/>
      <c r="D45" s="213"/>
      <c r="E45" s="213"/>
      <c r="F45" s="213"/>
      <c r="G45" s="213"/>
      <c r="H45" s="213"/>
      <c r="I45" s="213"/>
      <c r="J45" s="213"/>
      <c r="K45" s="213"/>
      <c r="L45" s="213"/>
      <c r="M45" s="213"/>
      <c r="N45" s="213"/>
      <c r="O45" s="213"/>
    </row>
    <row r="46" spans="2:17" ht="9" customHeight="1" thickBot="1" x14ac:dyDescent="0.4">
      <c r="B46" s="188"/>
      <c r="C46" s="31"/>
      <c r="D46" s="31"/>
      <c r="E46" s="31"/>
      <c r="F46" s="31"/>
      <c r="G46" s="31"/>
      <c r="H46" s="31"/>
      <c r="I46" s="31"/>
      <c r="J46" s="31"/>
      <c r="K46" s="31"/>
      <c r="L46" s="31"/>
      <c r="M46" s="31"/>
      <c r="N46" s="31"/>
      <c r="O46" s="189"/>
    </row>
    <row r="47" spans="2:17" ht="27" x14ac:dyDescent="0.35">
      <c r="B47" s="72" t="s">
        <v>0</v>
      </c>
      <c r="C47" s="73" t="s">
        <v>11</v>
      </c>
      <c r="D47" s="73" t="s">
        <v>6</v>
      </c>
      <c r="E47" s="73" t="s">
        <v>1</v>
      </c>
      <c r="F47" s="73" t="s">
        <v>9</v>
      </c>
      <c r="G47" s="73" t="s">
        <v>10</v>
      </c>
      <c r="H47" s="73" t="s">
        <v>6</v>
      </c>
      <c r="I47" s="73" t="s">
        <v>1</v>
      </c>
      <c r="J47" s="73" t="s">
        <v>9</v>
      </c>
      <c r="K47" s="73" t="s">
        <v>10</v>
      </c>
      <c r="L47" s="73" t="s">
        <v>6</v>
      </c>
      <c r="M47" s="73" t="s">
        <v>1</v>
      </c>
      <c r="N47" s="73" t="s">
        <v>9</v>
      </c>
      <c r="O47" s="74" t="s">
        <v>10</v>
      </c>
    </row>
    <row r="48" spans="2:17" ht="14.5" customHeight="1" x14ac:dyDescent="0.35">
      <c r="B48" s="26" t="s">
        <v>14</v>
      </c>
      <c r="C48" s="29" t="s">
        <v>12</v>
      </c>
      <c r="D48" s="28"/>
      <c r="E48" s="24"/>
      <c r="F48" s="24"/>
      <c r="G48" s="23"/>
      <c r="H48" s="25"/>
      <c r="I48" s="24"/>
      <c r="J48" s="24"/>
      <c r="K48" s="23"/>
      <c r="L48" s="25"/>
      <c r="M48" s="24"/>
      <c r="N48" s="24"/>
      <c r="O48" s="23"/>
    </row>
    <row r="49" spans="2:19" ht="14.5" customHeight="1" x14ac:dyDescent="0.35">
      <c r="B49" s="9">
        <v>1</v>
      </c>
      <c r="C49" s="22" t="s">
        <v>75</v>
      </c>
      <c r="D49" s="27" t="s">
        <v>16</v>
      </c>
      <c r="E49" s="21" t="s">
        <v>8</v>
      </c>
      <c r="F49" s="45">
        <v>23.81</v>
      </c>
      <c r="G49" s="12">
        <f t="shared" ref="G49:G52" si="0">IF(D49="TBD",0,D49*F49)</f>
        <v>0</v>
      </c>
      <c r="H49" s="50"/>
      <c r="I49" s="51"/>
      <c r="J49" s="52"/>
      <c r="K49" s="54" t="s">
        <v>78</v>
      </c>
      <c r="L49" s="50"/>
      <c r="M49" s="51"/>
      <c r="N49" s="52"/>
      <c r="O49" s="54" t="s">
        <v>78</v>
      </c>
    </row>
    <row r="50" spans="2:19" ht="14.5" customHeight="1" x14ac:dyDescent="0.35">
      <c r="B50" s="9">
        <v>2</v>
      </c>
      <c r="C50" s="22" t="s">
        <v>74</v>
      </c>
      <c r="D50" s="27" t="s">
        <v>16</v>
      </c>
      <c r="E50" s="21" t="s">
        <v>8</v>
      </c>
      <c r="F50" s="45">
        <v>9.66</v>
      </c>
      <c r="G50" s="12">
        <f t="shared" si="0"/>
        <v>0</v>
      </c>
      <c r="H50" s="50"/>
      <c r="I50" s="51"/>
      <c r="J50" s="52"/>
      <c r="K50" s="54" t="s">
        <v>78</v>
      </c>
      <c r="L50" s="50"/>
      <c r="M50" s="51"/>
      <c r="N50" s="52"/>
      <c r="O50" s="54" t="s">
        <v>78</v>
      </c>
    </row>
    <row r="51" spans="2:19" ht="14.5" customHeight="1" x14ac:dyDescent="0.35">
      <c r="B51" s="9">
        <v>3</v>
      </c>
      <c r="C51" s="22" t="s">
        <v>72</v>
      </c>
      <c r="D51" s="27" t="s">
        <v>16</v>
      </c>
      <c r="E51" s="8" t="s">
        <v>76</v>
      </c>
      <c r="F51" s="45">
        <v>23.5</v>
      </c>
      <c r="G51" s="12">
        <f t="shared" si="0"/>
        <v>0</v>
      </c>
      <c r="H51" s="50"/>
      <c r="I51" s="51"/>
      <c r="J51" s="52"/>
      <c r="K51" s="177" t="s">
        <v>73</v>
      </c>
      <c r="L51" s="50"/>
      <c r="M51" s="51"/>
      <c r="N51" s="52"/>
      <c r="O51" s="177" t="s">
        <v>73</v>
      </c>
    </row>
    <row r="52" spans="2:19" ht="14.5" customHeight="1" x14ac:dyDescent="0.35">
      <c r="B52" s="9">
        <v>4</v>
      </c>
      <c r="C52" s="22" t="s">
        <v>77</v>
      </c>
      <c r="D52" s="27">
        <v>1</v>
      </c>
      <c r="E52" s="21" t="s">
        <v>3</v>
      </c>
      <c r="F52" s="45">
        <v>22632.35</v>
      </c>
      <c r="G52" s="12">
        <f t="shared" si="0"/>
        <v>22632.35</v>
      </c>
      <c r="H52" s="50"/>
      <c r="I52" s="51"/>
      <c r="J52" s="52"/>
      <c r="K52" s="54" t="s">
        <v>23</v>
      </c>
      <c r="L52" s="50"/>
      <c r="M52" s="51"/>
      <c r="N52" s="52"/>
      <c r="O52" s="54" t="s">
        <v>23</v>
      </c>
    </row>
    <row r="53" spans="2:19" ht="14.5" customHeight="1" thickBot="1" x14ac:dyDescent="0.4">
      <c r="B53" s="16"/>
      <c r="C53" s="63"/>
      <c r="D53" s="64"/>
      <c r="E53" s="65"/>
      <c r="F53" s="65"/>
      <c r="G53" s="66"/>
      <c r="H53" s="67"/>
      <c r="I53" s="68"/>
      <c r="J53" s="69"/>
      <c r="K53" s="70"/>
      <c r="L53" s="67"/>
      <c r="M53" s="68"/>
      <c r="N53" s="69"/>
      <c r="O53" s="71"/>
    </row>
    <row r="54" spans="2:19" ht="27" x14ac:dyDescent="0.35">
      <c r="B54" s="72" t="s">
        <v>0</v>
      </c>
      <c r="C54" s="73" t="s">
        <v>11</v>
      </c>
      <c r="D54" s="73" t="s">
        <v>6</v>
      </c>
      <c r="E54" s="73" t="s">
        <v>1</v>
      </c>
      <c r="F54" s="73" t="s">
        <v>9</v>
      </c>
      <c r="G54" s="73" t="s">
        <v>10</v>
      </c>
      <c r="H54" s="73" t="s">
        <v>6</v>
      </c>
      <c r="I54" s="73" t="s">
        <v>1</v>
      </c>
      <c r="J54" s="73" t="s">
        <v>9</v>
      </c>
      <c r="K54" s="73" t="s">
        <v>10</v>
      </c>
      <c r="L54" s="73" t="s">
        <v>6</v>
      </c>
      <c r="M54" s="73" t="s">
        <v>1</v>
      </c>
      <c r="N54" s="73" t="s">
        <v>9</v>
      </c>
      <c r="O54" s="74" t="s">
        <v>10</v>
      </c>
    </row>
    <row r="55" spans="2:19" x14ac:dyDescent="0.35">
      <c r="B55" s="26" t="s">
        <v>15</v>
      </c>
      <c r="C55" s="23" t="s">
        <v>13</v>
      </c>
      <c r="D55" s="28"/>
      <c r="E55" s="24"/>
      <c r="F55" s="24"/>
      <c r="G55" s="23"/>
      <c r="H55" s="25"/>
      <c r="I55" s="24"/>
      <c r="J55" s="24"/>
      <c r="K55" s="23"/>
      <c r="L55" s="28"/>
      <c r="M55" s="24"/>
      <c r="N55" s="24"/>
      <c r="O55" s="23"/>
    </row>
    <row r="56" spans="2:19" ht="26" x14ac:dyDescent="0.35">
      <c r="B56" s="78">
        <v>1</v>
      </c>
      <c r="C56" s="79" t="s">
        <v>89</v>
      </c>
      <c r="D56" s="80"/>
      <c r="E56" s="81"/>
      <c r="F56" s="81"/>
      <c r="G56" s="79"/>
      <c r="H56" s="82"/>
      <c r="I56" s="83"/>
      <c r="J56" s="83"/>
      <c r="K56" s="84"/>
      <c r="L56" s="85">
        <v>1</v>
      </c>
      <c r="M56" s="83" t="s">
        <v>7</v>
      </c>
      <c r="N56" s="83"/>
      <c r="O56" s="84"/>
      <c r="P56" s="86"/>
      <c r="Q56" s="86"/>
      <c r="R56" s="86"/>
      <c r="S56" s="86"/>
    </row>
    <row r="57" spans="2:19" ht="26" x14ac:dyDescent="0.35">
      <c r="B57" s="78">
        <v>2</v>
      </c>
      <c r="C57" s="79" t="s">
        <v>90</v>
      </c>
      <c r="D57" s="80"/>
      <c r="E57" s="81"/>
      <c r="F57" s="81"/>
      <c r="G57" s="79"/>
      <c r="H57" s="82"/>
      <c r="I57" s="83"/>
      <c r="J57" s="83"/>
      <c r="K57" s="84"/>
      <c r="L57" s="85"/>
      <c r="M57" s="83"/>
      <c r="N57" s="83"/>
      <c r="O57" s="84" t="s">
        <v>92</v>
      </c>
      <c r="P57" s="86"/>
      <c r="Q57" s="86"/>
      <c r="R57" s="86"/>
      <c r="S57" s="86"/>
    </row>
    <row r="58" spans="2:19" ht="26" x14ac:dyDescent="0.35">
      <c r="B58" s="78">
        <v>3</v>
      </c>
      <c r="C58" s="79" t="s">
        <v>91</v>
      </c>
      <c r="D58" s="80"/>
      <c r="E58" s="81"/>
      <c r="F58" s="81"/>
      <c r="G58" s="79"/>
      <c r="H58" s="82"/>
      <c r="I58" s="83"/>
      <c r="J58" s="83"/>
      <c r="K58" s="84"/>
      <c r="L58" s="85">
        <v>1</v>
      </c>
      <c r="M58" s="83" t="s">
        <v>7</v>
      </c>
      <c r="N58" s="83"/>
      <c r="O58" s="84"/>
      <c r="P58" s="86"/>
      <c r="Q58" s="86"/>
      <c r="R58" s="86"/>
      <c r="S58" s="86"/>
    </row>
    <row r="59" spans="2:19" ht="26.5" thickBot="1" x14ac:dyDescent="0.4">
      <c r="B59" s="20">
        <v>4</v>
      </c>
      <c r="C59" s="19" t="s">
        <v>103</v>
      </c>
      <c r="D59" s="75"/>
      <c r="E59" s="76"/>
      <c r="F59" s="76"/>
      <c r="G59" s="77"/>
      <c r="H59" s="46"/>
      <c r="I59" s="47"/>
      <c r="J59" s="48"/>
      <c r="K59" s="49"/>
      <c r="L59" s="201">
        <v>1</v>
      </c>
      <c r="M59" s="202" t="s">
        <v>18</v>
      </c>
      <c r="N59" s="48"/>
      <c r="O59" s="203" t="s">
        <v>104</v>
      </c>
    </row>
  </sheetData>
  <mergeCells count="22">
    <mergeCell ref="D10:G10"/>
    <mergeCell ref="H10:K10"/>
    <mergeCell ref="D11:G11"/>
    <mergeCell ref="H11:K11"/>
    <mergeCell ref="D12:G12"/>
    <mergeCell ref="H12:K12"/>
    <mergeCell ref="B3:C3"/>
    <mergeCell ref="B2:O2"/>
    <mergeCell ref="L41:N41"/>
    <mergeCell ref="B42:C45"/>
    <mergeCell ref="D42:G45"/>
    <mergeCell ref="H42:K45"/>
    <mergeCell ref="L42:O45"/>
    <mergeCell ref="L9:O9"/>
    <mergeCell ref="L10:O10"/>
    <mergeCell ref="L11:O11"/>
    <mergeCell ref="L12:O12"/>
    <mergeCell ref="B41:C41"/>
    <mergeCell ref="D41:F41"/>
    <mergeCell ref="H41:J41"/>
    <mergeCell ref="D9:G9"/>
    <mergeCell ref="H9:K9"/>
  </mergeCells>
  <hyperlinks>
    <hyperlink ref="D10" r:id="rId1" xr:uid="{EEEB9F68-049C-44B3-884D-EF93F4476CEF}"/>
    <hyperlink ref="H10" r:id="rId2" xr:uid="{C85CBCD8-860A-4071-93E8-31FBF138A28A}"/>
    <hyperlink ref="L10" r:id="rId3" xr:uid="{DD67C8C1-88B5-4D13-9B11-D7D93C2D1F9B}"/>
  </hyperlinks>
  <printOptions horizontalCentered="1"/>
  <pageMargins left="0.7" right="0.7" top="0.75" bottom="0.75" header="0.3" footer="0.3"/>
  <pageSetup paperSize="17" scale="55" fitToHeight="0" orientation="landscape"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E7074-1B71-4DD2-90CB-199EA5B95C5C}">
  <sheetPr>
    <pageSetUpPr fitToPage="1"/>
  </sheetPr>
  <dimension ref="B1:U64"/>
  <sheetViews>
    <sheetView zoomScaleNormal="100" zoomScaleSheetLayoutView="85" workbookViewId="0">
      <selection activeCell="D6" sqref="D6"/>
    </sheetView>
  </sheetViews>
  <sheetFormatPr defaultRowHeight="14.5" x14ac:dyDescent="0.35"/>
  <cols>
    <col min="1" max="1" width="9.1796875" customWidth="1"/>
    <col min="2" max="2" width="8.453125" style="1" customWidth="1"/>
    <col min="3" max="3" width="61.81640625" customWidth="1"/>
    <col min="4" max="4" width="14" customWidth="1"/>
    <col min="5" max="5" width="16.26953125" customWidth="1"/>
    <col min="6" max="6" width="18.7265625" style="1" customWidth="1"/>
    <col min="7" max="7" width="24" style="1" customWidth="1"/>
    <col min="8" max="8" width="13.81640625" style="1" customWidth="1"/>
    <col min="9" max="9" width="16.26953125" style="1" customWidth="1"/>
    <col min="10" max="10" width="18.26953125" style="1" customWidth="1"/>
    <col min="11" max="11" width="24" style="1" customWidth="1"/>
    <col min="12" max="12" width="13.81640625" style="1" customWidth="1"/>
    <col min="13" max="13" width="16.26953125" style="1" customWidth="1"/>
    <col min="14" max="14" width="18.26953125" style="1" customWidth="1"/>
    <col min="15" max="15" width="24" style="1" customWidth="1"/>
    <col min="16" max="16" width="13.81640625" style="1" customWidth="1"/>
    <col min="17" max="17" width="16.26953125" style="1" customWidth="1"/>
    <col min="18" max="18" width="18.26953125" style="1" customWidth="1"/>
    <col min="19" max="19" width="24" style="1" customWidth="1"/>
  </cols>
  <sheetData>
    <row r="1" spans="2:21" ht="15" thickBot="1" x14ac:dyDescent="0.4"/>
    <row r="2" spans="2:21" ht="24" thickBot="1" x14ac:dyDescent="0.6">
      <c r="B2" s="206" t="s">
        <v>107</v>
      </c>
      <c r="C2" s="207"/>
      <c r="D2" s="207"/>
      <c r="E2" s="207"/>
      <c r="F2" s="207"/>
      <c r="G2" s="207"/>
      <c r="H2" s="207"/>
      <c r="I2" s="207"/>
      <c r="J2" s="207"/>
      <c r="K2" s="207"/>
      <c r="L2" s="207"/>
      <c r="M2" s="207"/>
      <c r="N2" s="207"/>
      <c r="O2" s="207"/>
      <c r="P2" s="207"/>
      <c r="Q2" s="207"/>
      <c r="R2" s="207"/>
      <c r="S2" s="208"/>
    </row>
    <row r="3" spans="2:21" ht="19" x14ac:dyDescent="0.5">
      <c r="B3" s="204" t="s">
        <v>97</v>
      </c>
      <c r="C3" s="205"/>
      <c r="D3" s="90"/>
      <c r="E3" s="90"/>
      <c r="F3" s="90"/>
      <c r="G3" s="91"/>
      <c r="H3" s="89"/>
      <c r="I3" s="90"/>
      <c r="J3" s="90"/>
      <c r="K3" s="91"/>
      <c r="L3" s="89"/>
      <c r="M3" s="90"/>
      <c r="N3" s="90"/>
      <c r="O3" s="91"/>
      <c r="P3" s="89"/>
      <c r="Q3" s="90"/>
      <c r="R3" s="90"/>
      <c r="S3" s="91"/>
    </row>
    <row r="4" spans="2:21" ht="15" x14ac:dyDescent="0.4">
      <c r="B4" s="183" t="s">
        <v>98</v>
      </c>
      <c r="C4" s="184" t="s">
        <v>99</v>
      </c>
      <c r="D4" s="56"/>
      <c r="E4" s="56"/>
      <c r="F4" s="56"/>
      <c r="G4" s="93"/>
      <c r="H4" s="92"/>
      <c r="I4" s="56"/>
      <c r="J4" s="56"/>
      <c r="K4" s="93"/>
      <c r="L4" s="92"/>
      <c r="M4" s="56"/>
      <c r="N4" s="56"/>
      <c r="O4" s="93"/>
      <c r="P4" s="92"/>
      <c r="Q4" s="56"/>
      <c r="R4" s="56"/>
      <c r="S4" s="93"/>
    </row>
    <row r="5" spans="2:21" ht="15" x14ac:dyDescent="0.4">
      <c r="B5" s="252" t="s">
        <v>98</v>
      </c>
      <c r="C5" s="253" t="s">
        <v>105</v>
      </c>
      <c r="D5" s="56"/>
      <c r="E5" s="56"/>
      <c r="F5" s="56"/>
      <c r="G5" s="93"/>
      <c r="H5" s="92"/>
      <c r="I5" s="56"/>
      <c r="J5" s="56"/>
      <c r="K5" s="93"/>
      <c r="L5" s="92"/>
      <c r="M5" s="56"/>
      <c r="N5" s="56"/>
      <c r="O5" s="93"/>
      <c r="P5" s="92"/>
      <c r="Q5" s="56"/>
      <c r="R5" s="56"/>
      <c r="S5" s="93"/>
    </row>
    <row r="6" spans="2:21" ht="15" x14ac:dyDescent="0.35">
      <c r="B6" s="185"/>
      <c r="C6" s="186"/>
      <c r="D6" s="56"/>
      <c r="E6" s="56"/>
      <c r="F6" s="56"/>
      <c r="G6" s="93"/>
      <c r="H6" s="92"/>
      <c r="I6" s="56"/>
      <c r="J6" s="56"/>
      <c r="K6" s="93"/>
      <c r="L6" s="92"/>
      <c r="M6" s="56"/>
      <c r="N6" s="56"/>
      <c r="O6" s="93"/>
      <c r="P6" s="92"/>
      <c r="Q6" s="56"/>
      <c r="R6" s="56"/>
      <c r="S6" s="93"/>
    </row>
    <row r="7" spans="2:21" ht="15" x14ac:dyDescent="0.4">
      <c r="B7" s="197"/>
      <c r="C7" s="93"/>
      <c r="D7" s="56"/>
      <c r="E7" s="56"/>
      <c r="F7" s="56"/>
      <c r="G7" s="93"/>
      <c r="H7" s="92"/>
      <c r="I7" s="56"/>
      <c r="J7" s="56"/>
      <c r="K7" s="93"/>
      <c r="L7" s="92"/>
      <c r="M7" s="56"/>
      <c r="N7" s="56"/>
      <c r="O7" s="93"/>
      <c r="P7" s="92"/>
      <c r="Q7" s="56"/>
      <c r="R7" s="56"/>
      <c r="S7" s="93"/>
    </row>
    <row r="8" spans="2:21" ht="15" x14ac:dyDescent="0.4">
      <c r="B8" s="197"/>
      <c r="C8" s="93"/>
      <c r="D8" s="56"/>
      <c r="E8" s="56"/>
      <c r="F8" s="56"/>
      <c r="G8" s="93"/>
      <c r="H8" s="92"/>
      <c r="I8" s="56"/>
      <c r="J8" s="56"/>
      <c r="K8" s="93"/>
      <c r="L8" s="92"/>
      <c r="M8" s="56"/>
      <c r="N8" s="56"/>
      <c r="O8" s="93"/>
      <c r="P8" s="92"/>
      <c r="Q8" s="56"/>
      <c r="R8" s="56"/>
      <c r="S8" s="93"/>
    </row>
    <row r="9" spans="2:21" ht="15.75" customHeight="1" x14ac:dyDescent="0.35">
      <c r="B9" s="191"/>
      <c r="C9" s="192"/>
      <c r="D9" s="238" t="s">
        <v>60</v>
      </c>
      <c r="E9" s="238"/>
      <c r="F9" s="238"/>
      <c r="G9" s="239"/>
      <c r="H9" s="232" t="s">
        <v>64</v>
      </c>
      <c r="I9" s="233"/>
      <c r="J9" s="233"/>
      <c r="K9" s="234"/>
      <c r="L9" s="232" t="s">
        <v>65</v>
      </c>
      <c r="M9" s="233"/>
      <c r="N9" s="233"/>
      <c r="O9" s="234"/>
      <c r="P9" s="232" t="s">
        <v>96</v>
      </c>
      <c r="Q9" s="233"/>
      <c r="R9" s="233"/>
      <c r="S9" s="234"/>
    </row>
    <row r="10" spans="2:21" ht="14.5" customHeight="1" x14ac:dyDescent="0.35">
      <c r="B10" s="193"/>
      <c r="C10" s="192"/>
      <c r="D10" s="236" t="s">
        <v>70</v>
      </c>
      <c r="E10" s="236"/>
      <c r="F10" s="236"/>
      <c r="G10" s="237"/>
      <c r="H10" s="235" t="s">
        <v>63</v>
      </c>
      <c r="I10" s="236"/>
      <c r="J10" s="236"/>
      <c r="K10" s="237"/>
      <c r="L10" s="235" t="s">
        <v>66</v>
      </c>
      <c r="M10" s="236"/>
      <c r="N10" s="236"/>
      <c r="O10" s="237"/>
      <c r="P10" s="235" t="s">
        <v>95</v>
      </c>
      <c r="Q10" s="236"/>
      <c r="R10" s="236"/>
      <c r="S10" s="237"/>
    </row>
    <row r="11" spans="2:21" ht="15.75" customHeight="1" x14ac:dyDescent="0.35">
      <c r="B11" s="193"/>
      <c r="C11" s="192"/>
      <c r="D11" s="233" t="s">
        <v>71</v>
      </c>
      <c r="E11" s="233"/>
      <c r="F11" s="233"/>
      <c r="G11" s="234"/>
      <c r="H11" s="232" t="s">
        <v>62</v>
      </c>
      <c r="I11" s="238"/>
      <c r="J11" s="238"/>
      <c r="K11" s="239"/>
      <c r="L11" s="232" t="s">
        <v>67</v>
      </c>
      <c r="M11" s="238"/>
      <c r="N11" s="238"/>
      <c r="O11" s="239"/>
      <c r="P11" s="232" t="s">
        <v>94</v>
      </c>
      <c r="Q11" s="238"/>
      <c r="R11" s="238"/>
      <c r="S11" s="239"/>
    </row>
    <row r="12" spans="2:21" ht="16.5" customHeight="1" thickBot="1" x14ac:dyDescent="0.45">
      <c r="B12" s="194"/>
      <c r="C12" s="195"/>
      <c r="D12" s="241" t="s">
        <v>61</v>
      </c>
      <c r="E12" s="241"/>
      <c r="F12" s="241"/>
      <c r="G12" s="242"/>
      <c r="H12" s="240" t="s">
        <v>68</v>
      </c>
      <c r="I12" s="241"/>
      <c r="J12" s="241"/>
      <c r="K12" s="242"/>
      <c r="L12" s="240" t="s">
        <v>69</v>
      </c>
      <c r="M12" s="241"/>
      <c r="N12" s="241"/>
      <c r="O12" s="242"/>
      <c r="P12" s="240" t="s">
        <v>93</v>
      </c>
      <c r="Q12" s="241"/>
      <c r="R12" s="241"/>
      <c r="S12" s="242"/>
    </row>
    <row r="13" spans="2:21" ht="25.5" customHeight="1" x14ac:dyDescent="0.35">
      <c r="B13" s="190" t="s">
        <v>22</v>
      </c>
      <c r="C13" s="182" t="s">
        <v>11</v>
      </c>
      <c r="D13" s="182" t="s">
        <v>6</v>
      </c>
      <c r="E13" s="182" t="s">
        <v>1</v>
      </c>
      <c r="F13" s="182" t="s">
        <v>9</v>
      </c>
      <c r="G13" s="182" t="s">
        <v>20</v>
      </c>
      <c r="H13" s="182" t="s">
        <v>6</v>
      </c>
      <c r="I13" s="182" t="s">
        <v>1</v>
      </c>
      <c r="J13" s="182" t="s">
        <v>9</v>
      </c>
      <c r="K13" s="182" t="s">
        <v>20</v>
      </c>
      <c r="L13" s="182" t="s">
        <v>6</v>
      </c>
      <c r="M13" s="182" t="s">
        <v>1</v>
      </c>
      <c r="N13" s="182" t="s">
        <v>9</v>
      </c>
      <c r="O13" s="182" t="s">
        <v>20</v>
      </c>
      <c r="P13" s="182" t="s">
        <v>6</v>
      </c>
      <c r="Q13" s="182" t="s">
        <v>1</v>
      </c>
      <c r="R13" s="182" t="s">
        <v>9</v>
      </c>
      <c r="S13" s="187" t="s">
        <v>20</v>
      </c>
    </row>
    <row r="14" spans="2:21" ht="16" customHeight="1" x14ac:dyDescent="0.35">
      <c r="B14" s="94" t="s">
        <v>25</v>
      </c>
      <c r="C14" s="95" t="s">
        <v>27</v>
      </c>
      <c r="D14" s="96"/>
      <c r="E14" s="97"/>
      <c r="F14" s="97"/>
      <c r="G14" s="98"/>
      <c r="H14" s="94"/>
      <c r="I14" s="97"/>
      <c r="J14" s="97"/>
      <c r="K14" s="98"/>
      <c r="L14" s="94"/>
      <c r="M14" s="97"/>
      <c r="N14" s="97"/>
      <c r="O14" s="98"/>
      <c r="P14" s="94"/>
      <c r="Q14" s="97"/>
      <c r="R14" s="97"/>
      <c r="S14" s="98"/>
    </row>
    <row r="15" spans="2:21" ht="20" customHeight="1" x14ac:dyDescent="0.35">
      <c r="B15" s="99">
        <v>1</v>
      </c>
      <c r="C15" s="100" t="s">
        <v>37</v>
      </c>
      <c r="D15" s="101" t="s">
        <v>16</v>
      </c>
      <c r="E15" s="102" t="s">
        <v>17</v>
      </c>
      <c r="F15" s="103">
        <v>4.0999999999999996</v>
      </c>
      <c r="G15" s="104">
        <v>0</v>
      </c>
      <c r="H15" s="102" t="s">
        <v>16</v>
      </c>
      <c r="I15" s="102" t="s">
        <v>17</v>
      </c>
      <c r="J15" s="103">
        <v>8</v>
      </c>
      <c r="K15" s="104">
        <v>0</v>
      </c>
      <c r="L15" s="102" t="s">
        <v>16</v>
      </c>
      <c r="M15" s="102" t="s">
        <v>17</v>
      </c>
      <c r="N15" s="103">
        <v>5.8</v>
      </c>
      <c r="O15" s="104">
        <v>0</v>
      </c>
      <c r="P15" s="102" t="s">
        <v>16</v>
      </c>
      <c r="Q15" s="102" t="s">
        <v>17</v>
      </c>
      <c r="R15" s="103">
        <v>19.95</v>
      </c>
      <c r="S15" s="104">
        <v>0</v>
      </c>
      <c r="U15" s="62"/>
    </row>
    <row r="16" spans="2:21" ht="20" customHeight="1" x14ac:dyDescent="0.35">
      <c r="B16" s="105">
        <v>2</v>
      </c>
      <c r="C16" s="106" t="s">
        <v>24</v>
      </c>
      <c r="D16" s="107" t="s">
        <v>16</v>
      </c>
      <c r="E16" s="108" t="s">
        <v>8</v>
      </c>
      <c r="F16" s="109">
        <v>7.49</v>
      </c>
      <c r="G16" s="104">
        <v>0</v>
      </c>
      <c r="H16" s="108" t="s">
        <v>16</v>
      </c>
      <c r="I16" s="108" t="s">
        <v>8</v>
      </c>
      <c r="J16" s="109">
        <v>15</v>
      </c>
      <c r="K16" s="104">
        <v>0</v>
      </c>
      <c r="L16" s="108" t="s">
        <v>16</v>
      </c>
      <c r="M16" s="108" t="s">
        <v>8</v>
      </c>
      <c r="N16" s="109">
        <v>15.97</v>
      </c>
      <c r="O16" s="104">
        <v>0</v>
      </c>
      <c r="P16" s="108" t="s">
        <v>16</v>
      </c>
      <c r="Q16" s="108" t="s">
        <v>8</v>
      </c>
      <c r="R16" s="109">
        <v>9.75</v>
      </c>
      <c r="S16" s="104">
        <v>0</v>
      </c>
      <c r="U16" s="62"/>
    </row>
    <row r="17" spans="2:21" ht="20" customHeight="1" x14ac:dyDescent="0.35">
      <c r="B17" s="99">
        <v>3</v>
      </c>
      <c r="C17" s="106" t="s">
        <v>32</v>
      </c>
      <c r="D17" s="245">
        <v>2000</v>
      </c>
      <c r="E17" s="108" t="s">
        <v>7</v>
      </c>
      <c r="F17" s="109">
        <v>5.28</v>
      </c>
      <c r="G17" s="110">
        <v>10560</v>
      </c>
      <c r="H17" s="245">
        <v>2000</v>
      </c>
      <c r="I17" s="108" t="s">
        <v>7</v>
      </c>
      <c r="J17" s="109">
        <v>12</v>
      </c>
      <c r="K17" s="110">
        <v>24000</v>
      </c>
      <c r="L17" s="245">
        <v>2000</v>
      </c>
      <c r="M17" s="108" t="s">
        <v>7</v>
      </c>
      <c r="N17" s="109">
        <v>7.74</v>
      </c>
      <c r="O17" s="110">
        <v>15480</v>
      </c>
      <c r="P17" s="245">
        <v>2000</v>
      </c>
      <c r="Q17" s="108" t="s">
        <v>7</v>
      </c>
      <c r="R17" s="109">
        <v>19.95</v>
      </c>
      <c r="S17" s="110">
        <v>39900</v>
      </c>
      <c r="U17" s="62"/>
    </row>
    <row r="18" spans="2:21" ht="20" customHeight="1" x14ac:dyDescent="0.35">
      <c r="B18" s="105">
        <v>4</v>
      </c>
      <c r="C18" s="106" t="s">
        <v>33</v>
      </c>
      <c r="D18" s="245">
        <v>1125</v>
      </c>
      <c r="E18" s="108" t="s">
        <v>8</v>
      </c>
      <c r="F18" s="109">
        <v>21.01</v>
      </c>
      <c r="G18" s="110">
        <v>23636.25</v>
      </c>
      <c r="H18" s="245">
        <v>1125</v>
      </c>
      <c r="I18" s="108" t="s">
        <v>8</v>
      </c>
      <c r="J18" s="109">
        <v>15</v>
      </c>
      <c r="K18" s="110">
        <v>16875</v>
      </c>
      <c r="L18" s="245">
        <v>1125</v>
      </c>
      <c r="M18" s="108" t="s">
        <v>8</v>
      </c>
      <c r="N18" s="109">
        <v>255.02</v>
      </c>
      <c r="O18" s="110">
        <v>286897.5</v>
      </c>
      <c r="P18" s="245">
        <v>1125</v>
      </c>
      <c r="Q18" s="108" t="s">
        <v>8</v>
      </c>
      <c r="R18" s="109">
        <v>580</v>
      </c>
      <c r="S18" s="110">
        <v>652500</v>
      </c>
      <c r="U18" s="62"/>
    </row>
    <row r="19" spans="2:21" ht="20" customHeight="1" x14ac:dyDescent="0.35">
      <c r="B19" s="105">
        <v>5</v>
      </c>
      <c r="C19" s="106" t="s">
        <v>79</v>
      </c>
      <c r="D19" s="107" t="s">
        <v>16</v>
      </c>
      <c r="E19" s="108" t="s">
        <v>8</v>
      </c>
      <c r="F19" s="109">
        <v>15.43</v>
      </c>
      <c r="G19" s="104">
        <v>0</v>
      </c>
      <c r="H19" s="108" t="s">
        <v>16</v>
      </c>
      <c r="I19" s="108" t="s">
        <v>8</v>
      </c>
      <c r="J19" s="109">
        <v>0</v>
      </c>
      <c r="K19" s="104" t="s">
        <v>88</v>
      </c>
      <c r="L19" s="108" t="s">
        <v>16</v>
      </c>
      <c r="M19" s="108" t="s">
        <v>8</v>
      </c>
      <c r="N19" s="109">
        <v>996.9</v>
      </c>
      <c r="O19" s="104">
        <v>0</v>
      </c>
      <c r="P19" s="108" t="s">
        <v>16</v>
      </c>
      <c r="Q19" s="108" t="s">
        <v>8</v>
      </c>
      <c r="R19" s="109">
        <v>19.95</v>
      </c>
      <c r="S19" s="104">
        <v>0</v>
      </c>
      <c r="U19" s="62"/>
    </row>
    <row r="20" spans="2:21" ht="16" customHeight="1" x14ac:dyDescent="0.35">
      <c r="B20" s="94" t="s">
        <v>26</v>
      </c>
      <c r="C20" s="95" t="s">
        <v>45</v>
      </c>
      <c r="D20" s="96"/>
      <c r="E20" s="97"/>
      <c r="F20" s="97"/>
      <c r="G20" s="98"/>
      <c r="H20" s="94"/>
      <c r="I20" s="97"/>
      <c r="J20" s="97"/>
      <c r="K20" s="98"/>
      <c r="L20" s="94"/>
      <c r="M20" s="97"/>
      <c r="N20" s="97"/>
      <c r="O20" s="98"/>
      <c r="P20" s="94"/>
      <c r="Q20" s="97"/>
      <c r="R20" s="97"/>
      <c r="S20" s="98"/>
      <c r="U20" s="62"/>
    </row>
    <row r="21" spans="2:21" ht="54" x14ac:dyDescent="0.35">
      <c r="B21" s="105">
        <v>1</v>
      </c>
      <c r="C21" s="100" t="s">
        <v>47</v>
      </c>
      <c r="D21" s="101">
        <v>13450</v>
      </c>
      <c r="E21" s="102" t="s">
        <v>7</v>
      </c>
      <c r="F21" s="103">
        <v>9.75</v>
      </c>
      <c r="G21" s="110">
        <v>131137.5</v>
      </c>
      <c r="H21" s="102">
        <v>13450</v>
      </c>
      <c r="I21" s="102" t="s">
        <v>7</v>
      </c>
      <c r="J21" s="111">
        <v>23.218072862453532</v>
      </c>
      <c r="K21" s="110">
        <v>312283.08</v>
      </c>
      <c r="L21" s="102">
        <v>13450</v>
      </c>
      <c r="M21" s="102" t="s">
        <v>7</v>
      </c>
      <c r="N21" s="111">
        <v>23.777808921933087</v>
      </c>
      <c r="O21" s="110">
        <v>319811.53000000003</v>
      </c>
      <c r="P21" s="102">
        <v>13450</v>
      </c>
      <c r="Q21" s="102" t="s">
        <v>7</v>
      </c>
      <c r="R21" s="103">
        <v>22</v>
      </c>
      <c r="S21" s="110">
        <v>295900</v>
      </c>
      <c r="U21" s="62"/>
    </row>
    <row r="22" spans="2:21" ht="27" x14ac:dyDescent="0.35">
      <c r="B22" s="105">
        <v>2</v>
      </c>
      <c r="C22" s="106" t="s">
        <v>48</v>
      </c>
      <c r="D22" s="107">
        <v>13450</v>
      </c>
      <c r="E22" s="108" t="s">
        <v>7</v>
      </c>
      <c r="F22" s="109">
        <v>4.12</v>
      </c>
      <c r="G22" s="110">
        <v>55414</v>
      </c>
      <c r="H22" s="108">
        <v>13450</v>
      </c>
      <c r="I22" s="108" t="s">
        <v>7</v>
      </c>
      <c r="J22" s="112">
        <v>27.544344981412639</v>
      </c>
      <c r="K22" s="110">
        <v>370471.44</v>
      </c>
      <c r="L22" s="108">
        <v>13450</v>
      </c>
      <c r="M22" s="108" t="s">
        <v>7</v>
      </c>
      <c r="N22" s="111">
        <v>13.483590334572492</v>
      </c>
      <c r="O22" s="110">
        <v>181354.29</v>
      </c>
      <c r="P22" s="108">
        <v>13450</v>
      </c>
      <c r="Q22" s="108" t="s">
        <v>7</v>
      </c>
      <c r="R22" s="109">
        <v>35</v>
      </c>
      <c r="S22" s="110">
        <v>470750</v>
      </c>
      <c r="U22" s="62"/>
    </row>
    <row r="23" spans="2:21" ht="67.5" x14ac:dyDescent="0.35">
      <c r="B23" s="105">
        <v>3</v>
      </c>
      <c r="C23" s="106" t="s">
        <v>49</v>
      </c>
      <c r="D23" s="107">
        <v>13450</v>
      </c>
      <c r="E23" s="108" t="s">
        <v>7</v>
      </c>
      <c r="F23" s="109">
        <v>31.59</v>
      </c>
      <c r="G23" s="110">
        <v>424885.5</v>
      </c>
      <c r="H23" s="108">
        <v>13450</v>
      </c>
      <c r="I23" s="108" t="s">
        <v>7</v>
      </c>
      <c r="J23" s="112">
        <v>38.598967286245355</v>
      </c>
      <c r="K23" s="110">
        <v>519156.11000000004</v>
      </c>
      <c r="L23" s="108">
        <v>13450</v>
      </c>
      <c r="M23" s="108" t="s">
        <v>7</v>
      </c>
      <c r="N23" s="111">
        <v>34.260017843866173</v>
      </c>
      <c r="O23" s="110">
        <v>460797.24000000005</v>
      </c>
      <c r="P23" s="108">
        <v>13450</v>
      </c>
      <c r="Q23" s="108" t="s">
        <v>7</v>
      </c>
      <c r="R23" s="109">
        <v>45</v>
      </c>
      <c r="S23" s="110">
        <v>605250</v>
      </c>
      <c r="U23" s="62"/>
    </row>
    <row r="24" spans="2:21" ht="27" x14ac:dyDescent="0.35">
      <c r="B24" s="105">
        <v>4</v>
      </c>
      <c r="C24" s="106" t="s">
        <v>34</v>
      </c>
      <c r="D24" s="107">
        <v>13450</v>
      </c>
      <c r="E24" s="108" t="s">
        <v>7</v>
      </c>
      <c r="F24" s="109">
        <v>18.690000000000001</v>
      </c>
      <c r="G24" s="110">
        <v>251380.50000000003</v>
      </c>
      <c r="H24" s="108">
        <v>13450</v>
      </c>
      <c r="I24" s="108" t="s">
        <v>7</v>
      </c>
      <c r="J24" s="112">
        <v>28.635623048327137</v>
      </c>
      <c r="K24" s="110">
        <v>385149.13</v>
      </c>
      <c r="L24" s="108">
        <v>13450</v>
      </c>
      <c r="M24" s="108" t="s">
        <v>7</v>
      </c>
      <c r="N24" s="111">
        <v>24.502298884758364</v>
      </c>
      <c r="O24" s="110">
        <v>329555.92</v>
      </c>
      <c r="P24" s="108">
        <v>13450</v>
      </c>
      <c r="Q24" s="108" t="s">
        <v>7</v>
      </c>
      <c r="R24" s="109">
        <v>18</v>
      </c>
      <c r="S24" s="110">
        <v>242100</v>
      </c>
      <c r="U24" s="62"/>
    </row>
    <row r="25" spans="2:21" ht="16" customHeight="1" x14ac:dyDescent="0.35">
      <c r="B25" s="94" t="s">
        <v>28</v>
      </c>
      <c r="C25" s="95" t="s">
        <v>39</v>
      </c>
      <c r="D25" s="96"/>
      <c r="E25" s="97"/>
      <c r="F25" s="97"/>
      <c r="G25" s="98"/>
      <c r="H25" s="94"/>
      <c r="I25" s="97"/>
      <c r="J25" s="97"/>
      <c r="K25" s="98"/>
      <c r="L25" s="94"/>
      <c r="M25" s="97"/>
      <c r="N25" s="97"/>
      <c r="O25" s="98"/>
      <c r="P25" s="94"/>
      <c r="Q25" s="97"/>
      <c r="R25" s="97"/>
      <c r="S25" s="98"/>
      <c r="U25" s="62"/>
    </row>
    <row r="26" spans="2:21" ht="27" x14ac:dyDescent="0.35">
      <c r="B26" s="105">
        <v>1</v>
      </c>
      <c r="C26" s="100" t="s">
        <v>42</v>
      </c>
      <c r="D26" s="101">
        <v>15125</v>
      </c>
      <c r="E26" s="102" t="s">
        <v>36</v>
      </c>
      <c r="F26" s="103">
        <v>3.06</v>
      </c>
      <c r="G26" s="110">
        <v>46282.5</v>
      </c>
      <c r="H26" s="102">
        <v>15125</v>
      </c>
      <c r="I26" s="102" t="s">
        <v>36</v>
      </c>
      <c r="J26" s="111">
        <v>2.8910657851239669</v>
      </c>
      <c r="K26" s="113">
        <v>43727.37</v>
      </c>
      <c r="L26" s="102">
        <v>15125</v>
      </c>
      <c r="M26" s="102" t="s">
        <v>36</v>
      </c>
      <c r="N26" s="111">
        <v>6.5201685950413228</v>
      </c>
      <c r="O26" s="113">
        <v>98617.55</v>
      </c>
      <c r="P26" s="102">
        <v>15125</v>
      </c>
      <c r="Q26" s="102" t="s">
        <v>36</v>
      </c>
      <c r="R26" s="103">
        <v>18</v>
      </c>
      <c r="S26" s="113">
        <v>272250</v>
      </c>
      <c r="U26" s="62"/>
    </row>
    <row r="27" spans="2:21" ht="27" x14ac:dyDescent="0.35">
      <c r="B27" s="114">
        <v>2</v>
      </c>
      <c r="C27" s="100" t="s">
        <v>40</v>
      </c>
      <c r="D27" s="101">
        <v>15125</v>
      </c>
      <c r="E27" s="102" t="s">
        <v>7</v>
      </c>
      <c r="F27" s="103">
        <v>14.12</v>
      </c>
      <c r="G27" s="110">
        <v>213565</v>
      </c>
      <c r="H27" s="102">
        <v>15125</v>
      </c>
      <c r="I27" s="102" t="s">
        <v>7</v>
      </c>
      <c r="J27" s="111">
        <v>30.957430743801655</v>
      </c>
      <c r="K27" s="113">
        <v>468231.14</v>
      </c>
      <c r="L27" s="102">
        <v>15125</v>
      </c>
      <c r="M27" s="102" t="s">
        <v>7</v>
      </c>
      <c r="N27" s="111">
        <v>23.907923966942146</v>
      </c>
      <c r="O27" s="113">
        <v>361607.35</v>
      </c>
      <c r="P27" s="102">
        <v>15125</v>
      </c>
      <c r="Q27" s="102" t="s">
        <v>7</v>
      </c>
      <c r="R27" s="103">
        <v>18</v>
      </c>
      <c r="S27" s="113">
        <v>272250</v>
      </c>
      <c r="U27" s="62"/>
    </row>
    <row r="28" spans="2:21" ht="16" customHeight="1" x14ac:dyDescent="0.35">
      <c r="B28" s="94" t="s">
        <v>41</v>
      </c>
      <c r="C28" s="95" t="s">
        <v>30</v>
      </c>
      <c r="D28" s="96"/>
      <c r="E28" s="97"/>
      <c r="F28" s="97"/>
      <c r="G28" s="98"/>
      <c r="H28" s="94"/>
      <c r="I28" s="97"/>
      <c r="J28" s="97"/>
      <c r="K28" s="98"/>
      <c r="L28" s="94"/>
      <c r="M28" s="97"/>
      <c r="N28" s="97"/>
      <c r="O28" s="98"/>
      <c r="P28" s="94"/>
      <c r="Q28" s="97"/>
      <c r="R28" s="97"/>
      <c r="S28" s="98"/>
      <c r="U28" s="62"/>
    </row>
    <row r="29" spans="2:21" ht="54" x14ac:dyDescent="0.35">
      <c r="B29" s="105">
        <v>1</v>
      </c>
      <c r="C29" s="100" t="s">
        <v>50</v>
      </c>
      <c r="D29" s="245">
        <v>7250</v>
      </c>
      <c r="E29" s="102" t="s">
        <v>36</v>
      </c>
      <c r="F29" s="103">
        <v>17.18</v>
      </c>
      <c r="G29" s="113">
        <v>124555</v>
      </c>
      <c r="H29" s="245">
        <v>7250</v>
      </c>
      <c r="I29" s="102" t="s">
        <v>36</v>
      </c>
      <c r="J29" s="103">
        <v>30</v>
      </c>
      <c r="K29" s="113">
        <v>217500</v>
      </c>
      <c r="L29" s="245">
        <v>7250</v>
      </c>
      <c r="M29" s="102" t="s">
        <v>36</v>
      </c>
      <c r="N29" s="109">
        <v>24.63</v>
      </c>
      <c r="O29" s="113">
        <v>178567.5</v>
      </c>
      <c r="P29" s="245">
        <v>7250</v>
      </c>
      <c r="Q29" s="102" t="s">
        <v>36</v>
      </c>
      <c r="R29" s="109">
        <v>38</v>
      </c>
      <c r="S29" s="113">
        <v>275500</v>
      </c>
      <c r="U29" s="62"/>
    </row>
    <row r="30" spans="2:21" ht="40.5" x14ac:dyDescent="0.35">
      <c r="B30" s="105">
        <v>2</v>
      </c>
      <c r="C30" s="100" t="s">
        <v>31</v>
      </c>
      <c r="D30" s="101" t="s">
        <v>16</v>
      </c>
      <c r="E30" s="102" t="s">
        <v>35</v>
      </c>
      <c r="F30" s="103">
        <v>17.68</v>
      </c>
      <c r="G30" s="104">
        <v>0</v>
      </c>
      <c r="H30" s="102" t="s">
        <v>16</v>
      </c>
      <c r="I30" s="102" t="s">
        <v>35</v>
      </c>
      <c r="J30" s="103">
        <v>24</v>
      </c>
      <c r="K30" s="104">
        <v>0</v>
      </c>
      <c r="L30" s="102" t="s">
        <v>16</v>
      </c>
      <c r="M30" s="102" t="s">
        <v>35</v>
      </c>
      <c r="N30" s="103">
        <v>9.06</v>
      </c>
      <c r="O30" s="115">
        <v>0</v>
      </c>
      <c r="P30" s="102" t="s">
        <v>16</v>
      </c>
      <c r="Q30" s="102" t="s">
        <v>35</v>
      </c>
      <c r="R30" s="103">
        <v>32.950000000000003</v>
      </c>
      <c r="S30" s="115">
        <v>0</v>
      </c>
      <c r="U30" s="62"/>
    </row>
    <row r="31" spans="2:21" ht="27" x14ac:dyDescent="0.35">
      <c r="B31" s="105">
        <v>3</v>
      </c>
      <c r="C31" s="100" t="s">
        <v>44</v>
      </c>
      <c r="D31" s="101" t="s">
        <v>16</v>
      </c>
      <c r="E31" s="102" t="s">
        <v>8</v>
      </c>
      <c r="F31" s="103">
        <v>4.8099999999999996</v>
      </c>
      <c r="G31" s="104">
        <v>0</v>
      </c>
      <c r="H31" s="102" t="s">
        <v>16</v>
      </c>
      <c r="I31" s="102" t="s">
        <v>8</v>
      </c>
      <c r="J31" s="103">
        <v>3</v>
      </c>
      <c r="K31" s="104">
        <v>0</v>
      </c>
      <c r="L31" s="102" t="s">
        <v>16</v>
      </c>
      <c r="M31" s="102" t="s">
        <v>8</v>
      </c>
      <c r="N31" s="103">
        <v>4.3499999999999996</v>
      </c>
      <c r="O31" s="115">
        <v>0</v>
      </c>
      <c r="P31" s="102" t="s">
        <v>16</v>
      </c>
      <c r="Q31" s="102" t="s">
        <v>8</v>
      </c>
      <c r="R31" s="103">
        <v>14.95</v>
      </c>
      <c r="S31" s="115">
        <v>0</v>
      </c>
      <c r="U31" s="62"/>
    </row>
    <row r="32" spans="2:21" ht="16" customHeight="1" x14ac:dyDescent="0.35">
      <c r="B32" s="94" t="s">
        <v>53</v>
      </c>
      <c r="C32" s="95" t="s">
        <v>29</v>
      </c>
      <c r="D32" s="96"/>
      <c r="E32" s="97"/>
      <c r="F32" s="97"/>
      <c r="G32" s="98"/>
      <c r="H32" s="94"/>
      <c r="I32" s="97"/>
      <c r="J32" s="97"/>
      <c r="K32" s="98"/>
      <c r="L32" s="94"/>
      <c r="M32" s="97"/>
      <c r="N32" s="97"/>
      <c r="O32" s="98"/>
      <c r="P32" s="94"/>
      <c r="Q32" s="97"/>
      <c r="R32" s="97"/>
      <c r="S32" s="98"/>
      <c r="U32" s="62"/>
    </row>
    <row r="33" spans="2:21" ht="54" x14ac:dyDescent="0.35">
      <c r="B33" s="105">
        <v>1</v>
      </c>
      <c r="C33" s="116" t="s">
        <v>51</v>
      </c>
      <c r="D33" s="117" t="s">
        <v>16</v>
      </c>
      <c r="E33" s="118" t="s">
        <v>7</v>
      </c>
      <c r="F33" s="119">
        <v>1.71</v>
      </c>
      <c r="G33" s="104">
        <v>0</v>
      </c>
      <c r="H33" s="102" t="s">
        <v>16</v>
      </c>
      <c r="I33" s="102" t="s">
        <v>81</v>
      </c>
      <c r="J33" s="111">
        <v>4.18</v>
      </c>
      <c r="K33" s="104">
        <v>0</v>
      </c>
      <c r="L33" s="102" t="s">
        <v>16</v>
      </c>
      <c r="M33" s="102" t="s">
        <v>7</v>
      </c>
      <c r="N33" s="120">
        <v>2.4700000000000002</v>
      </c>
      <c r="O33" s="104">
        <v>0</v>
      </c>
      <c r="P33" s="102" t="s">
        <v>16</v>
      </c>
      <c r="Q33" s="102" t="s">
        <v>7</v>
      </c>
      <c r="R33" s="120">
        <v>3.95</v>
      </c>
      <c r="S33" s="104">
        <v>0</v>
      </c>
      <c r="U33" s="62"/>
    </row>
    <row r="34" spans="2:21" ht="54" x14ac:dyDescent="0.35">
      <c r="B34" s="114">
        <v>2</v>
      </c>
      <c r="C34" s="122" t="s">
        <v>52</v>
      </c>
      <c r="D34" s="254" t="s">
        <v>16</v>
      </c>
      <c r="E34" s="123" t="s">
        <v>35</v>
      </c>
      <c r="F34" s="124">
        <v>5.43</v>
      </c>
      <c r="G34" s="104">
        <v>0</v>
      </c>
      <c r="H34" s="254" t="s">
        <v>16</v>
      </c>
      <c r="I34" s="123" t="s">
        <v>35</v>
      </c>
      <c r="J34" s="124">
        <v>3</v>
      </c>
      <c r="K34" s="104">
        <v>0</v>
      </c>
      <c r="L34" s="254" t="s">
        <v>16</v>
      </c>
      <c r="M34" s="178" t="s">
        <v>18</v>
      </c>
      <c r="N34" s="120">
        <v>0</v>
      </c>
      <c r="O34" s="104">
        <v>0</v>
      </c>
      <c r="P34" s="102" t="s">
        <v>16</v>
      </c>
      <c r="Q34" s="125" t="s">
        <v>35</v>
      </c>
      <c r="R34" s="120">
        <v>7.95</v>
      </c>
      <c r="S34" s="104">
        <v>0</v>
      </c>
      <c r="U34" s="62"/>
    </row>
    <row r="35" spans="2:21" ht="40.5" x14ac:dyDescent="0.35">
      <c r="B35" s="114">
        <v>3</v>
      </c>
      <c r="C35" s="126" t="s">
        <v>43</v>
      </c>
      <c r="D35" s="245">
        <v>400</v>
      </c>
      <c r="E35" s="125" t="s">
        <v>35</v>
      </c>
      <c r="F35" s="127">
        <v>6.79</v>
      </c>
      <c r="G35" s="104">
        <v>2716</v>
      </c>
      <c r="H35" s="245">
        <v>400</v>
      </c>
      <c r="I35" s="125" t="s">
        <v>35</v>
      </c>
      <c r="J35" s="127">
        <v>3</v>
      </c>
      <c r="K35" s="104">
        <v>1200</v>
      </c>
      <c r="L35" s="245">
        <v>400</v>
      </c>
      <c r="M35" s="179" t="s">
        <v>35</v>
      </c>
      <c r="N35" s="103">
        <v>5.8</v>
      </c>
      <c r="O35" s="121">
        <v>2320</v>
      </c>
      <c r="P35" s="245">
        <v>400</v>
      </c>
      <c r="Q35" s="125" t="s">
        <v>35</v>
      </c>
      <c r="R35" s="120">
        <v>9.9499999999999993</v>
      </c>
      <c r="S35" s="104">
        <v>3979.9999999999995</v>
      </c>
      <c r="U35" s="62"/>
    </row>
    <row r="36" spans="2:21" ht="16" customHeight="1" x14ac:dyDescent="0.35">
      <c r="B36" s="94" t="s">
        <v>54</v>
      </c>
      <c r="C36" s="95" t="s">
        <v>2</v>
      </c>
      <c r="D36" s="128"/>
      <c r="E36" s="97"/>
      <c r="F36" s="97"/>
      <c r="G36" s="98"/>
      <c r="H36" s="94"/>
      <c r="I36" s="97"/>
      <c r="J36" s="97"/>
      <c r="K36" s="98"/>
      <c r="L36" s="94"/>
      <c r="M36" s="97"/>
      <c r="N36" s="97"/>
      <c r="O36" s="98"/>
      <c r="P36" s="94"/>
      <c r="Q36" s="97"/>
      <c r="R36" s="97"/>
      <c r="S36" s="98"/>
      <c r="U36" s="62"/>
    </row>
    <row r="37" spans="2:21" ht="40.5" x14ac:dyDescent="0.35">
      <c r="B37" s="105">
        <v>1</v>
      </c>
      <c r="C37" s="129" t="s">
        <v>55</v>
      </c>
      <c r="D37" s="117">
        <v>1</v>
      </c>
      <c r="E37" s="118" t="s">
        <v>3</v>
      </c>
      <c r="F37" s="120">
        <v>138972</v>
      </c>
      <c r="G37" s="110">
        <v>138972</v>
      </c>
      <c r="H37" s="118">
        <v>1</v>
      </c>
      <c r="I37" s="118" t="s">
        <v>3</v>
      </c>
      <c r="J37" s="120">
        <v>307296</v>
      </c>
      <c r="K37" s="121">
        <v>307296</v>
      </c>
      <c r="L37" s="118">
        <v>1</v>
      </c>
      <c r="M37" s="118" t="s">
        <v>3</v>
      </c>
      <c r="N37" s="120">
        <v>333902.13</v>
      </c>
      <c r="O37" s="121">
        <v>333902.13</v>
      </c>
      <c r="P37" s="118">
        <v>1</v>
      </c>
      <c r="Q37" s="118" t="s">
        <v>3</v>
      </c>
      <c r="R37" s="120">
        <v>75000</v>
      </c>
      <c r="S37" s="121">
        <v>75000</v>
      </c>
      <c r="U37" s="62"/>
    </row>
    <row r="38" spans="2:21" x14ac:dyDescent="0.35">
      <c r="B38" s="105">
        <v>2</v>
      </c>
      <c r="C38" s="129" t="s">
        <v>38</v>
      </c>
      <c r="D38" s="117">
        <v>1</v>
      </c>
      <c r="E38" s="118" t="s">
        <v>3</v>
      </c>
      <c r="F38" s="120">
        <v>20000</v>
      </c>
      <c r="G38" s="110">
        <v>20000</v>
      </c>
      <c r="H38" s="118">
        <v>1</v>
      </c>
      <c r="I38" s="118" t="s">
        <v>3</v>
      </c>
      <c r="J38" s="120">
        <v>0</v>
      </c>
      <c r="K38" s="110" t="s">
        <v>56</v>
      </c>
      <c r="L38" s="118">
        <v>1</v>
      </c>
      <c r="M38" s="118" t="s">
        <v>3</v>
      </c>
      <c r="N38" s="120">
        <v>2535.71</v>
      </c>
      <c r="O38" s="121">
        <v>2535.71</v>
      </c>
      <c r="P38" s="118">
        <v>1</v>
      </c>
      <c r="Q38" s="118" t="s">
        <v>3</v>
      </c>
      <c r="R38" s="120">
        <v>10000</v>
      </c>
      <c r="S38" s="121">
        <v>10000</v>
      </c>
      <c r="U38" s="62"/>
    </row>
    <row r="39" spans="2:21" x14ac:dyDescent="0.35">
      <c r="B39" s="105">
        <v>3</v>
      </c>
      <c r="C39" s="129" t="s">
        <v>19</v>
      </c>
      <c r="D39" s="117">
        <v>1</v>
      </c>
      <c r="E39" s="118" t="s">
        <v>3</v>
      </c>
      <c r="F39" s="120">
        <v>3195</v>
      </c>
      <c r="G39" s="110">
        <v>3195</v>
      </c>
      <c r="H39" s="118">
        <v>1</v>
      </c>
      <c r="I39" s="118" t="s">
        <v>3</v>
      </c>
      <c r="J39" s="120">
        <v>129300</v>
      </c>
      <c r="K39" s="121">
        <v>129300</v>
      </c>
      <c r="L39" s="118">
        <v>1</v>
      </c>
      <c r="M39" s="118" t="s">
        <v>3</v>
      </c>
      <c r="N39" s="120">
        <v>14489.8</v>
      </c>
      <c r="O39" s="121">
        <v>14489.8</v>
      </c>
      <c r="P39" s="118">
        <v>1</v>
      </c>
      <c r="Q39" s="118" t="s">
        <v>3</v>
      </c>
      <c r="R39" s="120">
        <v>6500</v>
      </c>
      <c r="S39" s="121">
        <v>6500</v>
      </c>
      <c r="U39" s="62"/>
    </row>
    <row r="40" spans="2:21" x14ac:dyDescent="0.35">
      <c r="B40" s="105">
        <v>4</v>
      </c>
      <c r="C40" s="129" t="s">
        <v>4</v>
      </c>
      <c r="D40" s="117">
        <v>1</v>
      </c>
      <c r="E40" s="118" t="s">
        <v>3</v>
      </c>
      <c r="F40" s="120">
        <v>10707.85</v>
      </c>
      <c r="G40" s="110">
        <v>10707.85</v>
      </c>
      <c r="H40" s="118">
        <v>1</v>
      </c>
      <c r="I40" s="118" t="s">
        <v>3</v>
      </c>
      <c r="J40" s="120">
        <v>15270</v>
      </c>
      <c r="K40" s="121">
        <v>15270</v>
      </c>
      <c r="L40" s="118">
        <v>1</v>
      </c>
      <c r="M40" s="118" t="s">
        <v>3</v>
      </c>
      <c r="N40" s="104">
        <v>0</v>
      </c>
      <c r="O40" s="104">
        <v>0</v>
      </c>
      <c r="P40" s="118">
        <v>1</v>
      </c>
      <c r="Q40" s="118" t="s">
        <v>3</v>
      </c>
      <c r="R40" s="120">
        <v>1200</v>
      </c>
      <c r="S40" s="121">
        <v>1200</v>
      </c>
      <c r="U40" s="62"/>
    </row>
    <row r="41" spans="2:21" x14ac:dyDescent="0.35">
      <c r="B41" s="105">
        <v>5</v>
      </c>
      <c r="C41" s="129" t="s">
        <v>5</v>
      </c>
      <c r="D41" s="117">
        <v>1</v>
      </c>
      <c r="E41" s="118" t="s">
        <v>3</v>
      </c>
      <c r="F41" s="120">
        <v>0</v>
      </c>
      <c r="G41" s="110">
        <v>0</v>
      </c>
      <c r="H41" s="118">
        <v>1</v>
      </c>
      <c r="I41" s="118" t="s">
        <v>3</v>
      </c>
      <c r="J41" s="120">
        <v>37800</v>
      </c>
      <c r="K41" s="110">
        <v>37800</v>
      </c>
      <c r="L41" s="118">
        <v>1</v>
      </c>
      <c r="M41" s="118" t="s">
        <v>3</v>
      </c>
      <c r="N41" s="120">
        <v>49265.31</v>
      </c>
      <c r="O41" s="121">
        <v>49265.31</v>
      </c>
      <c r="P41" s="118">
        <v>1</v>
      </c>
      <c r="Q41" s="118" t="s">
        <v>3</v>
      </c>
      <c r="R41" s="120">
        <v>45000</v>
      </c>
      <c r="S41" s="121">
        <v>45000</v>
      </c>
      <c r="U41" s="62"/>
    </row>
    <row r="42" spans="2:21" ht="26.25" customHeight="1" thickBot="1" x14ac:dyDescent="0.4">
      <c r="B42" s="243" t="s">
        <v>46</v>
      </c>
      <c r="C42" s="244"/>
      <c r="D42" s="229" t="s">
        <v>21</v>
      </c>
      <c r="E42" s="230"/>
      <c r="F42" s="231"/>
      <c r="G42" s="200">
        <f>SUM(G15:G41)</f>
        <v>1457007.1</v>
      </c>
      <c r="H42" s="229" t="s">
        <v>21</v>
      </c>
      <c r="I42" s="230"/>
      <c r="J42" s="231"/>
      <c r="K42" s="200">
        <f>SUM(K15:K41)</f>
        <v>2848259.2700000005</v>
      </c>
      <c r="L42" s="229" t="s">
        <v>21</v>
      </c>
      <c r="M42" s="230"/>
      <c r="N42" s="231"/>
      <c r="O42" s="200">
        <f>SUM(O15:O41)</f>
        <v>2635201.8299999996</v>
      </c>
      <c r="P42" s="229" t="s">
        <v>21</v>
      </c>
      <c r="Q42" s="230"/>
      <c r="R42" s="231"/>
      <c r="S42" s="200">
        <f>SUM(S15:S41)</f>
        <v>3268080</v>
      </c>
    </row>
    <row r="43" spans="2:21" ht="10" customHeight="1" thickBot="1" x14ac:dyDescent="0.4">
      <c r="B43" s="212" t="s">
        <v>102</v>
      </c>
      <c r="C43" s="212"/>
      <c r="D43" s="228" t="s">
        <v>80</v>
      </c>
      <c r="E43" s="228"/>
      <c r="F43" s="228"/>
      <c r="G43" s="228"/>
      <c r="H43" s="228" t="s">
        <v>82</v>
      </c>
      <c r="I43" s="228"/>
      <c r="J43" s="228"/>
      <c r="K43" s="228"/>
      <c r="L43" s="228">
        <v>180</v>
      </c>
      <c r="M43" s="228"/>
      <c r="N43" s="228"/>
      <c r="O43" s="228"/>
      <c r="P43" s="228" t="s">
        <v>88</v>
      </c>
      <c r="Q43" s="228"/>
      <c r="R43" s="228"/>
      <c r="S43" s="228"/>
    </row>
    <row r="44" spans="2:21" ht="10" customHeight="1" thickBot="1" x14ac:dyDescent="0.4">
      <c r="B44" s="212"/>
      <c r="C44" s="212"/>
      <c r="D44" s="228"/>
      <c r="E44" s="228"/>
      <c r="F44" s="228"/>
      <c r="G44" s="228"/>
      <c r="H44" s="228"/>
      <c r="I44" s="228"/>
      <c r="J44" s="228"/>
      <c r="K44" s="228"/>
      <c r="L44" s="228"/>
      <c r="M44" s="228"/>
      <c r="N44" s="228"/>
      <c r="O44" s="228"/>
      <c r="P44" s="228"/>
      <c r="Q44" s="228"/>
      <c r="R44" s="228"/>
      <c r="S44" s="228"/>
    </row>
    <row r="45" spans="2:21" ht="10" customHeight="1" thickBot="1" x14ac:dyDescent="0.4">
      <c r="B45" s="212"/>
      <c r="C45" s="212"/>
      <c r="D45" s="228"/>
      <c r="E45" s="228"/>
      <c r="F45" s="228"/>
      <c r="G45" s="228"/>
      <c r="H45" s="228"/>
      <c r="I45" s="228"/>
      <c r="J45" s="228"/>
      <c r="K45" s="228"/>
      <c r="L45" s="228"/>
      <c r="M45" s="228"/>
      <c r="N45" s="228"/>
      <c r="O45" s="228"/>
      <c r="P45" s="228"/>
      <c r="Q45" s="228"/>
      <c r="R45" s="228"/>
      <c r="S45" s="228"/>
    </row>
    <row r="46" spans="2:21" ht="10" customHeight="1" thickBot="1" x14ac:dyDescent="0.4">
      <c r="B46" s="212"/>
      <c r="C46" s="212"/>
      <c r="D46" s="228"/>
      <c r="E46" s="228"/>
      <c r="F46" s="228"/>
      <c r="G46" s="228"/>
      <c r="H46" s="228"/>
      <c r="I46" s="228"/>
      <c r="J46" s="228"/>
      <c r="K46" s="228"/>
      <c r="L46" s="228"/>
      <c r="M46" s="228"/>
      <c r="N46" s="228"/>
      <c r="O46" s="228"/>
      <c r="P46" s="228"/>
      <c r="Q46" s="228"/>
      <c r="R46" s="228"/>
      <c r="S46" s="228"/>
    </row>
    <row r="47" spans="2:21" ht="15" customHeight="1" thickBot="1" x14ac:dyDescent="0.4">
      <c r="B47" s="198"/>
      <c r="C47" s="130"/>
      <c r="D47" s="130"/>
      <c r="E47" s="130"/>
      <c r="F47" s="130"/>
      <c r="G47" s="130"/>
      <c r="H47" s="130"/>
      <c r="I47" s="130"/>
      <c r="J47" s="130"/>
      <c r="K47" s="130"/>
      <c r="L47" s="130"/>
      <c r="M47" s="130"/>
      <c r="N47" s="130"/>
      <c r="O47" s="130"/>
      <c r="P47" s="130"/>
      <c r="Q47" s="130"/>
      <c r="R47" s="130"/>
      <c r="S47" s="199"/>
    </row>
    <row r="48" spans="2:21" ht="27" x14ac:dyDescent="0.35">
      <c r="B48" s="72" t="s">
        <v>0</v>
      </c>
      <c r="C48" s="73" t="s">
        <v>11</v>
      </c>
      <c r="D48" s="73" t="s">
        <v>6</v>
      </c>
      <c r="E48" s="73" t="s">
        <v>1</v>
      </c>
      <c r="F48" s="73" t="s">
        <v>9</v>
      </c>
      <c r="G48" s="73" t="s">
        <v>10</v>
      </c>
      <c r="H48" s="73" t="s">
        <v>6</v>
      </c>
      <c r="I48" s="73" t="s">
        <v>1</v>
      </c>
      <c r="J48" s="73" t="s">
        <v>9</v>
      </c>
      <c r="K48" s="73" t="s">
        <v>10</v>
      </c>
      <c r="L48" s="73" t="s">
        <v>6</v>
      </c>
      <c r="M48" s="73" t="s">
        <v>1</v>
      </c>
      <c r="N48" s="73" t="s">
        <v>9</v>
      </c>
      <c r="O48" s="73" t="s">
        <v>10</v>
      </c>
      <c r="P48" s="73" t="s">
        <v>6</v>
      </c>
      <c r="Q48" s="73" t="s">
        <v>1</v>
      </c>
      <c r="R48" s="73" t="s">
        <v>9</v>
      </c>
      <c r="S48" s="74" t="s">
        <v>10</v>
      </c>
    </row>
    <row r="49" spans="2:19" ht="14.5" customHeight="1" x14ac:dyDescent="0.35">
      <c r="B49" s="131" t="s">
        <v>14</v>
      </c>
      <c r="C49" s="132" t="s">
        <v>12</v>
      </c>
      <c r="D49" s="133"/>
      <c r="E49" s="134"/>
      <c r="F49" s="134"/>
      <c r="G49" s="135"/>
      <c r="H49" s="136"/>
      <c r="I49" s="134"/>
      <c r="J49" s="134"/>
      <c r="K49" s="135"/>
      <c r="L49" s="136"/>
      <c r="M49" s="134"/>
      <c r="N49" s="134"/>
      <c r="O49" s="135"/>
      <c r="P49" s="136"/>
      <c r="Q49" s="134"/>
      <c r="R49" s="134"/>
      <c r="S49" s="135"/>
    </row>
    <row r="50" spans="2:19" ht="14.5" customHeight="1" x14ac:dyDescent="0.35">
      <c r="B50" s="105">
        <v>1</v>
      </c>
      <c r="C50" s="137" t="s">
        <v>75</v>
      </c>
      <c r="D50" s="138" t="s">
        <v>16</v>
      </c>
      <c r="E50" s="139" t="s">
        <v>8</v>
      </c>
      <c r="F50" s="120">
        <v>23.81</v>
      </c>
      <c r="G50" s="104">
        <f t="shared" ref="G50:G53" si="0">IF(D50="TBD",0,D50*F50)</f>
        <v>0</v>
      </c>
      <c r="H50" s="140"/>
      <c r="I50" s="141"/>
      <c r="J50" s="142"/>
      <c r="K50" s="143" t="s">
        <v>78</v>
      </c>
      <c r="L50" s="140"/>
      <c r="M50" s="141"/>
      <c r="N50" s="142"/>
      <c r="O50" s="143" t="s">
        <v>78</v>
      </c>
      <c r="P50" s="140"/>
      <c r="Q50" s="141"/>
      <c r="R50" s="142"/>
      <c r="S50" s="143" t="s">
        <v>78</v>
      </c>
    </row>
    <row r="51" spans="2:19" ht="14.5" customHeight="1" x14ac:dyDescent="0.35">
      <c r="B51" s="105">
        <v>2</v>
      </c>
      <c r="C51" s="137" t="s">
        <v>74</v>
      </c>
      <c r="D51" s="138" t="s">
        <v>16</v>
      </c>
      <c r="E51" s="139" t="s">
        <v>8</v>
      </c>
      <c r="F51" s="120">
        <v>9.66</v>
      </c>
      <c r="G51" s="104">
        <f t="shared" si="0"/>
        <v>0</v>
      </c>
      <c r="H51" s="140"/>
      <c r="I51" s="141"/>
      <c r="J51" s="142"/>
      <c r="K51" s="143" t="s">
        <v>78</v>
      </c>
      <c r="L51" s="140"/>
      <c r="M51" s="141"/>
      <c r="N51" s="142"/>
      <c r="O51" s="143" t="s">
        <v>78</v>
      </c>
      <c r="P51" s="140"/>
      <c r="Q51" s="141"/>
      <c r="R51" s="142"/>
      <c r="S51" s="143" t="s">
        <v>78</v>
      </c>
    </row>
    <row r="52" spans="2:19" ht="14.5" customHeight="1" x14ac:dyDescent="0.35">
      <c r="B52" s="105">
        <v>3</v>
      </c>
      <c r="C52" s="137" t="s">
        <v>72</v>
      </c>
      <c r="D52" s="138" t="s">
        <v>16</v>
      </c>
      <c r="E52" s="181" t="s">
        <v>76</v>
      </c>
      <c r="F52" s="120">
        <v>23.5</v>
      </c>
      <c r="G52" s="104">
        <f t="shared" si="0"/>
        <v>0</v>
      </c>
      <c r="H52" s="140"/>
      <c r="I52" s="141"/>
      <c r="J52" s="142"/>
      <c r="K52" s="180" t="s">
        <v>73</v>
      </c>
      <c r="L52" s="140"/>
      <c r="M52" s="141"/>
      <c r="N52" s="142"/>
      <c r="O52" s="180" t="s">
        <v>73</v>
      </c>
      <c r="P52" s="140"/>
      <c r="Q52" s="141"/>
      <c r="R52" s="142"/>
      <c r="S52" s="180" t="s">
        <v>73</v>
      </c>
    </row>
    <row r="53" spans="2:19" ht="14.5" customHeight="1" x14ac:dyDescent="0.35">
      <c r="B53" s="105">
        <v>4</v>
      </c>
      <c r="C53" s="137" t="s">
        <v>83</v>
      </c>
      <c r="D53" s="138">
        <v>1</v>
      </c>
      <c r="E53" s="139" t="s">
        <v>3</v>
      </c>
      <c r="F53" s="120">
        <v>113161.8</v>
      </c>
      <c r="G53" s="104">
        <f t="shared" si="0"/>
        <v>113161.8</v>
      </c>
      <c r="H53" s="140"/>
      <c r="I53" s="141"/>
      <c r="J53" s="142"/>
      <c r="K53" s="143" t="s">
        <v>23</v>
      </c>
      <c r="L53" s="140"/>
      <c r="M53" s="141"/>
      <c r="N53" s="142"/>
      <c r="O53" s="143" t="s">
        <v>23</v>
      </c>
      <c r="P53" s="140"/>
      <c r="Q53" s="141"/>
      <c r="R53" s="142"/>
      <c r="S53" s="143" t="s">
        <v>23</v>
      </c>
    </row>
    <row r="54" spans="2:19" ht="14.5" customHeight="1" x14ac:dyDescent="0.35">
      <c r="B54" s="114">
        <v>5</v>
      </c>
      <c r="C54" s="144" t="s">
        <v>84</v>
      </c>
      <c r="D54" s="145"/>
      <c r="E54" s="146"/>
      <c r="F54" s="147"/>
      <c r="G54" s="147"/>
      <c r="H54" s="148">
        <v>1</v>
      </c>
      <c r="I54" s="149" t="s">
        <v>3</v>
      </c>
      <c r="J54" s="150">
        <v>3900</v>
      </c>
      <c r="K54" s="151">
        <f>J54*H54</f>
        <v>3900</v>
      </c>
      <c r="L54" s="148"/>
      <c r="M54" s="149"/>
      <c r="N54" s="150"/>
      <c r="O54" s="151"/>
      <c r="P54" s="148"/>
      <c r="Q54" s="149"/>
      <c r="R54" s="150"/>
      <c r="S54" s="151"/>
    </row>
    <row r="55" spans="2:19" ht="14.5" customHeight="1" x14ac:dyDescent="0.35">
      <c r="B55" s="114">
        <v>6</v>
      </c>
      <c r="C55" s="144" t="s">
        <v>85</v>
      </c>
      <c r="D55" s="145"/>
      <c r="E55" s="146"/>
      <c r="F55" s="147"/>
      <c r="G55" s="147"/>
      <c r="H55" s="148">
        <v>1</v>
      </c>
      <c r="I55" s="149" t="s">
        <v>3</v>
      </c>
      <c r="J55" s="150">
        <v>3900</v>
      </c>
      <c r="K55" s="151">
        <f t="shared" ref="K55:K57" si="1">J55*H55</f>
        <v>3900</v>
      </c>
      <c r="L55" s="148"/>
      <c r="M55" s="149"/>
      <c r="N55" s="150"/>
      <c r="O55" s="151"/>
      <c r="P55" s="148"/>
      <c r="Q55" s="149"/>
      <c r="R55" s="150"/>
      <c r="S55" s="151"/>
    </row>
    <row r="56" spans="2:19" ht="14.5" customHeight="1" x14ac:dyDescent="0.35">
      <c r="B56" s="114">
        <v>7</v>
      </c>
      <c r="C56" s="144" t="s">
        <v>86</v>
      </c>
      <c r="D56" s="145"/>
      <c r="E56" s="146"/>
      <c r="F56" s="147"/>
      <c r="G56" s="147"/>
      <c r="H56" s="148">
        <v>1</v>
      </c>
      <c r="I56" s="149" t="s">
        <v>3</v>
      </c>
      <c r="J56" s="150">
        <v>5478</v>
      </c>
      <c r="K56" s="151">
        <f t="shared" si="1"/>
        <v>5478</v>
      </c>
      <c r="L56" s="148"/>
      <c r="M56" s="149"/>
      <c r="N56" s="150"/>
      <c r="O56" s="151"/>
      <c r="P56" s="148"/>
      <c r="Q56" s="149"/>
      <c r="R56" s="150"/>
      <c r="S56" s="151"/>
    </row>
    <row r="57" spans="2:19" ht="14.5" customHeight="1" x14ac:dyDescent="0.35">
      <c r="B57" s="114">
        <v>8</v>
      </c>
      <c r="C57" s="144" t="s">
        <v>87</v>
      </c>
      <c r="D57" s="145"/>
      <c r="E57" s="146"/>
      <c r="F57" s="147"/>
      <c r="G57" s="147"/>
      <c r="H57" s="148">
        <v>1</v>
      </c>
      <c r="I57" s="149" t="s">
        <v>3</v>
      </c>
      <c r="J57" s="150">
        <v>1242</v>
      </c>
      <c r="K57" s="151">
        <f t="shared" si="1"/>
        <v>1242</v>
      </c>
      <c r="L57" s="148"/>
      <c r="M57" s="149"/>
      <c r="N57" s="150"/>
      <c r="O57" s="151"/>
      <c r="P57" s="148"/>
      <c r="Q57" s="149"/>
      <c r="R57" s="150"/>
      <c r="S57" s="151"/>
    </row>
    <row r="58" spans="2:19" ht="14.5" customHeight="1" thickBot="1" x14ac:dyDescent="0.4">
      <c r="B58" s="114"/>
      <c r="C58" s="144"/>
      <c r="D58" s="145"/>
      <c r="E58" s="146"/>
      <c r="F58" s="146"/>
      <c r="G58" s="152"/>
      <c r="H58" s="153"/>
      <c r="I58" s="154"/>
      <c r="J58" s="155"/>
      <c r="K58" s="156"/>
      <c r="L58" s="153"/>
      <c r="M58" s="154"/>
      <c r="N58" s="155"/>
      <c r="O58" s="151"/>
      <c r="P58" s="153"/>
      <c r="Q58" s="154"/>
      <c r="R58" s="155"/>
      <c r="S58" s="151"/>
    </row>
    <row r="59" spans="2:19" ht="27" x14ac:dyDescent="0.35">
      <c r="B59" s="72" t="s">
        <v>0</v>
      </c>
      <c r="C59" s="73" t="s">
        <v>11</v>
      </c>
      <c r="D59" s="73" t="s">
        <v>6</v>
      </c>
      <c r="E59" s="73" t="s">
        <v>1</v>
      </c>
      <c r="F59" s="73" t="s">
        <v>9</v>
      </c>
      <c r="G59" s="73" t="s">
        <v>10</v>
      </c>
      <c r="H59" s="73" t="s">
        <v>6</v>
      </c>
      <c r="I59" s="73" t="s">
        <v>1</v>
      </c>
      <c r="J59" s="73" t="s">
        <v>9</v>
      </c>
      <c r="K59" s="73" t="s">
        <v>10</v>
      </c>
      <c r="L59" s="73" t="s">
        <v>6</v>
      </c>
      <c r="M59" s="73" t="s">
        <v>1</v>
      </c>
      <c r="N59" s="73" t="s">
        <v>9</v>
      </c>
      <c r="O59" s="74" t="s">
        <v>10</v>
      </c>
      <c r="P59" s="73" t="s">
        <v>6</v>
      </c>
      <c r="Q59" s="73" t="s">
        <v>1</v>
      </c>
      <c r="R59" s="73" t="s">
        <v>9</v>
      </c>
      <c r="S59" s="74" t="s">
        <v>10</v>
      </c>
    </row>
    <row r="60" spans="2:19" x14ac:dyDescent="0.35">
      <c r="B60" s="131" t="s">
        <v>15</v>
      </c>
      <c r="C60" s="135" t="s">
        <v>13</v>
      </c>
      <c r="D60" s="133"/>
      <c r="E60" s="134"/>
      <c r="F60" s="134"/>
      <c r="G60" s="135"/>
      <c r="H60" s="136"/>
      <c r="I60" s="134"/>
      <c r="J60" s="134"/>
      <c r="K60" s="135"/>
      <c r="L60" s="133"/>
      <c r="M60" s="134"/>
      <c r="N60" s="134"/>
      <c r="O60" s="135"/>
      <c r="P60" s="133"/>
      <c r="Q60" s="134"/>
      <c r="R60" s="134"/>
      <c r="S60" s="135"/>
    </row>
    <row r="61" spans="2:19" ht="27" x14ac:dyDescent="0.35">
      <c r="B61" s="157">
        <v>1</v>
      </c>
      <c r="C61" s="158" t="s">
        <v>89</v>
      </c>
      <c r="D61" s="159"/>
      <c r="E61" s="160"/>
      <c r="F61" s="160"/>
      <c r="G61" s="158"/>
      <c r="H61" s="161"/>
      <c r="I61" s="162"/>
      <c r="J61" s="162"/>
      <c r="K61" s="163"/>
      <c r="L61" s="164">
        <v>1</v>
      </c>
      <c r="M61" s="162" t="s">
        <v>7</v>
      </c>
      <c r="N61" s="162"/>
      <c r="O61" s="163"/>
      <c r="P61" s="164"/>
      <c r="Q61" s="162"/>
      <c r="R61" s="162"/>
      <c r="S61" s="163"/>
    </row>
    <row r="62" spans="2:19" ht="27" x14ac:dyDescent="0.35">
      <c r="B62" s="157">
        <v>2</v>
      </c>
      <c r="C62" s="158" t="s">
        <v>100</v>
      </c>
      <c r="D62" s="159"/>
      <c r="E62" s="160"/>
      <c r="F62" s="160"/>
      <c r="G62" s="158"/>
      <c r="H62" s="161"/>
      <c r="I62" s="162"/>
      <c r="J62" s="162"/>
      <c r="K62" s="163"/>
      <c r="L62" s="164"/>
      <c r="M62" s="162"/>
      <c r="N62" s="162"/>
      <c r="O62" s="163" t="s">
        <v>92</v>
      </c>
      <c r="P62" s="164"/>
      <c r="Q62" s="162"/>
      <c r="R62" s="162"/>
      <c r="S62" s="163"/>
    </row>
    <row r="63" spans="2:19" ht="27" x14ac:dyDescent="0.35">
      <c r="B63" s="157">
        <v>3</v>
      </c>
      <c r="C63" s="158" t="s">
        <v>91</v>
      </c>
      <c r="D63" s="159"/>
      <c r="E63" s="160"/>
      <c r="F63" s="160"/>
      <c r="G63" s="158"/>
      <c r="H63" s="161"/>
      <c r="I63" s="162"/>
      <c r="J63" s="162"/>
      <c r="K63" s="163"/>
      <c r="L63" s="164">
        <v>1</v>
      </c>
      <c r="M63" s="162" t="s">
        <v>7</v>
      </c>
      <c r="N63" s="162"/>
      <c r="O63" s="163"/>
      <c r="P63" s="164"/>
      <c r="Q63" s="162"/>
      <c r="R63" s="162"/>
      <c r="S63" s="163"/>
    </row>
    <row r="64" spans="2:19" ht="15" thickBot="1" x14ac:dyDescent="0.4">
      <c r="B64" s="165"/>
      <c r="C64" s="166"/>
      <c r="D64" s="167"/>
      <c r="E64" s="168"/>
      <c r="F64" s="168"/>
      <c r="G64" s="169"/>
      <c r="H64" s="170"/>
      <c r="I64" s="171"/>
      <c r="J64" s="172"/>
      <c r="K64" s="173"/>
      <c r="L64" s="174"/>
      <c r="M64" s="171"/>
      <c r="N64" s="172"/>
      <c r="O64" s="173"/>
      <c r="P64" s="174"/>
      <c r="Q64" s="171"/>
      <c r="R64" s="172"/>
      <c r="S64" s="173"/>
    </row>
  </sheetData>
  <mergeCells count="28">
    <mergeCell ref="D12:G12"/>
    <mergeCell ref="H12:K12"/>
    <mergeCell ref="L12:O12"/>
    <mergeCell ref="D9:G9"/>
    <mergeCell ref="H9:K9"/>
    <mergeCell ref="L9:O9"/>
    <mergeCell ref="D10:G10"/>
    <mergeCell ref="H10:K10"/>
    <mergeCell ref="L10:O10"/>
    <mergeCell ref="D11:G11"/>
    <mergeCell ref="H11:K11"/>
    <mergeCell ref="L11:O11"/>
    <mergeCell ref="P43:S46"/>
    <mergeCell ref="B3:C3"/>
    <mergeCell ref="B2:S2"/>
    <mergeCell ref="P42:R42"/>
    <mergeCell ref="P9:S9"/>
    <mergeCell ref="P10:S10"/>
    <mergeCell ref="P11:S11"/>
    <mergeCell ref="P12:S12"/>
    <mergeCell ref="B43:C46"/>
    <mergeCell ref="D43:G46"/>
    <mergeCell ref="H43:K46"/>
    <mergeCell ref="L43:O46"/>
    <mergeCell ref="B42:C42"/>
    <mergeCell ref="D42:F42"/>
    <mergeCell ref="H42:J42"/>
    <mergeCell ref="L42:N42"/>
  </mergeCells>
  <hyperlinks>
    <hyperlink ref="D10" r:id="rId1" xr:uid="{11D1B0A7-87A9-4EC5-BF85-03047EBBF5C8}"/>
    <hyperlink ref="H10" r:id="rId2" xr:uid="{BCDEFDAE-7BAF-41D2-96DF-C7B8F4DF7B43}"/>
    <hyperlink ref="L10" r:id="rId3" xr:uid="{5C94F851-8B03-4D73-BA93-48C5A9E95518}"/>
    <hyperlink ref="P10" r:id="rId4" display="mwitter@empireworks.com" xr:uid="{BB8113F0-1759-4C66-AAE0-7FE3D3DECEBF}"/>
    <hyperlink ref="P10:S10" r:id="rId5" display="chrisb@eastbrookconstruction.com" xr:uid="{EEC1F5CD-3173-43C6-A39B-4F656C4437C8}"/>
  </hyperlinks>
  <printOptions horizontalCentered="1"/>
  <pageMargins left="0.7" right="0.7" top="0.75" bottom="0.75" header="0.3" footer="0.3"/>
  <pageSetup paperSize="17" scale="45" fitToWidth="0" orientation="landscape" r:id="rId6"/>
  <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Bid Form Final - Bldg 10</vt:lpstr>
      <vt:lpstr>Bid Form Final - Bldgs 12-16</vt:lpstr>
      <vt:lpstr>'Bid Form Final - Bldg 10'!Print_Area</vt:lpstr>
      <vt:lpstr>'Bid Form Final - Bldgs 12-16'!Print_Area</vt:lpstr>
      <vt:lpstr>'Bid Form Final - Bldg 10'!Print_Titles</vt:lpstr>
      <vt:lpstr>'Bid Form Final - Bldgs 12-16'!Print_Titles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Saribel Garcia</dc:creator>
  <cp:lastModifiedBy>Randall Arthurs</cp:lastModifiedBy>
  <cp:lastPrinted>2025-10-20T15:03:34Z</cp:lastPrinted>
  <dcterms:created xsi:type="dcterms:W3CDTF">2023-11-17T16:28:55Z</dcterms:created>
  <dcterms:modified xsi:type="dcterms:W3CDTF">2025-10-20T19:44:34Z</dcterms:modified>
</cp:coreProperties>
</file>